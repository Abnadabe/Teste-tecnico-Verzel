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  <sheet name="Resumo" sheetId="2" state="visible" r:id="rId4"/>
    <sheet name="Legenda" sheetId="3" state="visible" r:id="rId5"/>
  </sheets>
  <definedNames>
    <definedName function="false" hidden="true" localSheetId="0" name="_xlnm._FilterDatabase" vbProcedure="false">'Casos de Teste'!$A$1:$L$53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<sst xmlns="http://schemas.openxmlformats.org/spreadsheetml/2006/main" count="531" uniqueCount="290">
  <si>
    <t xml:space="preserve">ID</t>
  </si>
  <si>
    <t xml:space="preserve">CA</t>
  </si>
  <si>
    <t xml:space="preserve">Tipo</t>
  </si>
  <si>
    <t xml:space="preserve">Prioridade</t>
  </si>
  <si>
    <t xml:space="preserve">Título</t>
  </si>
  <si>
    <t xml:space="preserve">Pré-condições</t>
  </si>
  <si>
    <t xml:space="preserve">Passos</t>
  </si>
  <si>
    <t xml:space="preserve">Resultado esperado</t>
  </si>
  <si>
    <t xml:space="preserve">Resultado obtido</t>
  </si>
  <si>
    <t xml:space="preserve">Status</t>
  </si>
  <si>
    <t xml:space="preserve">Bug ID</t>
  </si>
  <si>
    <t xml:space="preserve">Evidência</t>
  </si>
  <si>
    <t xml:space="preserve">TM-001</t>
  </si>
  <si>
    <t xml:space="preserve">CA01</t>
  </si>
  <si>
    <t xml:space="preserve">Funcional</t>
  </si>
  <si>
    <t xml:space="preserve">Alta</t>
  </si>
  <si>
    <t xml:space="preserve">Aplicar BEMVINDO10 em compra abaixo de R$ 200,00</t>
  </si>
  <si>
    <t xml:space="preserve">Carrinho com produtos somando subtotal de R$ 100,00 (ajuste produtos/quantidades conforme os preços do ambiente; máx. 5 un. por produto).</t>
  </si>
  <si>
    <t xml:space="preserve">1. Abrir o carrinho.
2. Informar o cupom BEMVINDO10 no campo de cupom.
3. Clicar em Aplicar.</t>
  </si>
  <si>
    <t xml:space="preserve">Cupom aceito. Desconto R$ 10,00; frete R$ 19,90; total R$ 109,90.</t>
  </si>
  <si>
    <t xml:space="preserve">Não executado</t>
  </si>
  <si>
    <t xml:space="preserve">TM-002</t>
  </si>
  <si>
    <t xml:space="preserve">Aplicar BEMVINDO10 em compra acima de R$ 200,00</t>
  </si>
  <si>
    <t xml:space="preserve">Carrinho com produtos somando subtotal de R$ 250,00 (ajuste produtos/quantidades conforme os preços do ambiente; máx. 5 un. por produto).</t>
  </si>
  <si>
    <t xml:space="preserve">1. Abrir o carrinho.
2. Aplicar o cupom BEMVINDO10.</t>
  </si>
  <si>
    <t xml:space="preserve">Desconto R$ 25,00; frete grátis; total R$ 225,00.</t>
  </si>
  <si>
    <t xml:space="preserve">TM-003</t>
  </si>
  <si>
    <t xml:space="preserve">Média</t>
  </si>
  <si>
    <t xml:space="preserve">Desconto calculado sobre o subtotal de vários produtos</t>
  </si>
  <si>
    <t xml:space="preserve">Carrinho com produtos somando subtotal de R$ 150,00 (ajuste produtos/quantidades conforme os preços do ambiente; máx. 5 un. por produto). Usar 2 produtos diferentes.</t>
  </si>
  <si>
    <t xml:space="preserve">Desconto de R$ 15,00 (10% da soma dos produtos).</t>
  </si>
  <si>
    <t xml:space="preserve">TM-004</t>
  </si>
  <si>
    <t xml:space="preserve">Desconto recalculado ao alterar quantidade com cupom aplicado</t>
  </si>
  <si>
    <t xml:space="preserve">Carrinho com produtos somando subtotal de R$ 100,00 (ajuste produtos/quantidades conforme os preços do ambiente; máx. 5 un. por produto). Cupom BEMVINDO10 já aplicado.</t>
  </si>
  <si>
    <t xml:space="preserve">1. Dobrar a quantidade dos produtos no carrinho (subtotal passa a R$ 200,00).
2. Verificar o resumo.</t>
  </si>
  <si>
    <t xml:space="preserve">Desconto atualizado para R$ 20,00; frete grátis; total R$ 180,00.</t>
  </si>
  <si>
    <t xml:space="preserve">TM-005</t>
  </si>
  <si>
    <t xml:space="preserve">CA02</t>
  </si>
  <si>
    <t xml:space="preserve">Cupom em letras minúsculas</t>
  </si>
  <si>
    <t xml:space="preserve">Carrinho com subtotal de R$ 100,00.</t>
  </si>
  <si>
    <t xml:space="preserve">1. Informar bemvindo10 (minúsculas).
2. Aplicar.</t>
  </si>
  <si>
    <t xml:space="preserve">Cupom aceito; desconto R$ 10,00.</t>
  </si>
  <si>
    <t xml:space="preserve">TM-006</t>
  </si>
  <si>
    <t xml:space="preserve">Cupom em maiúsculas e minúsculas misturadas</t>
  </si>
  <si>
    <t xml:space="preserve">1. Informar BemVindo10 e aplicar.
2. Remover o cupom.
3. Repetir com bEmViNdO10.</t>
  </si>
  <si>
    <t xml:space="preserve">Cupom aceito nas duas tentativas; desconto R$ 10,00.</t>
  </si>
  <si>
    <t xml:space="preserve">TM-007</t>
  </si>
  <si>
    <t xml:space="preserve">Espaços no início e no fim são ignorados</t>
  </si>
  <si>
    <t xml:space="preserve">1. Informar "  BEMVINDO10  " (com espaços antes e depois) e aplicar.
2. Remover o cupom.
3. Repetir só com espaço no início e depois só com espaço no fim.</t>
  </si>
  <si>
    <t xml:space="preserve">Cupom aceito em todas as variações; desconto R$ 10,00.</t>
  </si>
  <si>
    <t xml:space="preserve">TM-008</t>
  </si>
  <si>
    <t xml:space="preserve">Espaços + minúsculas combinados</t>
  </si>
  <si>
    <t xml:space="preserve">1. Informar "  bemvindo10  " e aplicar.</t>
  </si>
  <si>
    <t xml:space="preserve">TM-009</t>
  </si>
  <si>
    <t xml:space="preserve">Exploratório</t>
  </si>
  <si>
    <t xml:space="preserve">Espaço no meio do código não é ignorado</t>
  </si>
  <si>
    <t xml:space="preserve">1. Informar "BEM VINDO10" e aplicar.</t>
  </si>
  <si>
    <t xml:space="preserve">Mensagem "Cupom inválido."; nenhum desconto aplicado.</t>
  </si>
  <si>
    <t xml:space="preserve">TM-010</t>
  </si>
  <si>
    <t xml:space="preserve">CA03</t>
  </si>
  <si>
    <t xml:space="preserve">Negativo</t>
  </si>
  <si>
    <t xml:space="preserve">Cupom inexistente</t>
  </si>
  <si>
    <t xml:space="preserve">1. Informar CUPOMFALSO e aplicar.</t>
  </si>
  <si>
    <t xml:space="preserve">Mensagem exata "Cupom inválido."; nenhum desconto; total R$ 119,90.</t>
  </si>
  <si>
    <t xml:space="preserve">TM-011</t>
  </si>
  <si>
    <t xml:space="preserve">Campo de cupom vazio</t>
  </si>
  <si>
    <t xml:space="preserve">1. Deixar o campo vazio.
2. Clicar em Aplicar.</t>
  </si>
  <si>
    <t xml:space="preserve">Comportamento não especificado: registrar. Esperado: sem desconto e sem erro inesperado (sem quebra de tela).</t>
  </si>
  <si>
    <t xml:space="preserve">TM-012</t>
  </si>
  <si>
    <t xml:space="preserve">Baixa</t>
  </si>
  <si>
    <t xml:space="preserve">Campo de cupom apenas com espaços</t>
  </si>
  <si>
    <t xml:space="preserve">1. Informar apenas espaços.
2. Clicar em Aplicar.</t>
  </si>
  <si>
    <t xml:space="preserve">Sem desconto; sem erro inesperado. Registrar a mensagem exibida.</t>
  </si>
  <si>
    <t xml:space="preserve">TM-013</t>
  </si>
  <si>
    <t xml:space="preserve">Caracteres especiais e tentativa de injeção no campo</t>
  </si>
  <si>
    <t xml:space="preserve">1. Informar &lt;script&gt;alert(1)&lt;/script&gt; e aplicar.
2. Informar ' OR '1'='1 e aplicar.
3. Informar um texto com 500+ caracteres e aplicar.</t>
  </si>
  <si>
    <t xml:space="preserve">Mensagem "Cupom inválido."; nenhum script executado; sem erro 5xx; layout preservado.</t>
  </si>
  <si>
    <t xml:space="preserve">TM-014</t>
  </si>
  <si>
    <t xml:space="preserve">Códigos parecidos com o cupom válido</t>
  </si>
  <si>
    <t xml:space="preserve">1. Informar BEMVINDO e aplicar.
2. Informar BEMVINDO100 e aplicar.
3. Informar BEMVINDO1 e aplicar.</t>
  </si>
  <si>
    <t xml:space="preserve">"Cupom inválido." em todas as tentativas; nenhum desconto.</t>
  </si>
  <si>
    <t xml:space="preserve">TM-015</t>
  </si>
  <si>
    <t xml:space="preserve">Cupom inválido não remove cupom válido já aplicado</t>
  </si>
  <si>
    <t xml:space="preserve">Carrinho com subtotal de R$ 100,00 e BEMVINDO10 aplicado.</t>
  </si>
  <si>
    <t xml:space="preserve">"Cupom inválido."; BEMVINDO10 continua aplicado; desconto segue R$ 10,00.</t>
  </si>
  <si>
    <t xml:space="preserve">TM-016</t>
  </si>
  <si>
    <t xml:space="preserve">CA04</t>
  </si>
  <si>
    <t xml:space="preserve">Cupom expirado</t>
  </si>
  <si>
    <t xml:space="preserve">Carrinho com subtotal de R$ 100,00. Ter um cupom existente e fora da validade (anotar o código usado).</t>
  </si>
  <si>
    <t xml:space="preserve">1. Informar o cupom expirado e aplicar.</t>
  </si>
  <si>
    <t xml:space="preserve">Mensagem exata "Cupom expirado."; nenhum desconto; total R$ 119,90.</t>
  </si>
  <si>
    <t xml:space="preserve">TM-017</t>
  </si>
  <si>
    <t xml:space="preserve">Cupom expirado não remove cupom válido já aplicado</t>
  </si>
  <si>
    <t xml:space="preserve">"Cupom expirado."; BEMVINDO10 continua aplicado.</t>
  </si>
  <si>
    <t xml:space="preserve">TM-018</t>
  </si>
  <si>
    <t xml:space="preserve">Limite</t>
  </si>
  <si>
    <t xml:space="preserve">Validade no limite (último dia e dia seguinte)</t>
  </si>
  <si>
    <t xml:space="preserve">Cupom com data de validade conhecida (D). Depende de poder alterar a data do ambiente ou de um cupom que expire hoje.</t>
  </si>
  <si>
    <t xml:space="preserve">1. Aplicar o cupom no último dia de validade.
2. Aplicar o mesmo cupom no dia seguinte.</t>
  </si>
  <si>
    <t xml:space="preserve">Último dia: aceito. Dia seguinte: "Cupom expirado."</t>
  </si>
  <si>
    <t xml:space="preserve">TM-019</t>
  </si>
  <si>
    <t xml:space="preserve">CA05</t>
  </si>
  <si>
    <t xml:space="preserve">Tentar aplicar segundo cupom com outro já aplicado</t>
  </si>
  <si>
    <t xml:space="preserve">Carrinho com subtotal de R$ 100,00 e BEMVINDO10 aplicado. Ter um segundo cupom válido (anotar o código).</t>
  </si>
  <si>
    <t xml:space="preserve">1. Informar o segundo cupom e aplicar.</t>
  </si>
  <si>
    <t xml:space="preserve">Segundo cupom não é aplicado; apenas BEMVINDO10 consta no carrinho; descontos não acumulam.</t>
  </si>
  <si>
    <t xml:space="preserve">TM-020</t>
  </si>
  <si>
    <t xml:space="preserve">Trocar de cupom removendo o atual</t>
  </si>
  <si>
    <t xml:space="preserve">Carrinho com subtotal de R$ 100,00 e BEMVINDO10 aplicado. Ter um segundo cupom válido.</t>
  </si>
  <si>
    <t xml:space="preserve">1. Remover o cupom atual.
2. Conferir o resumo.
3. Aplicar o segundo cupom.</t>
  </si>
  <si>
    <t xml:space="preserve">Após remover: sem desconto, total R$ 119,90. Após aplicar: apenas o segundo cupom no carrinho.</t>
  </si>
  <si>
    <t xml:space="preserve">TM-021</t>
  </si>
  <si>
    <t xml:space="preserve">Reaplicar o mesmo cupom não duplica o desconto</t>
  </si>
  <si>
    <t xml:space="preserve">1. Aplicar BEMVINDO10 novamente.</t>
  </si>
  <si>
    <t xml:space="preserve">Desconto continua R$ 10,00 (sem duplicar).</t>
  </si>
  <si>
    <t xml:space="preserve">TM-022</t>
  </si>
  <si>
    <t xml:space="preserve">Remover cupom recalcula total e frete</t>
  </si>
  <si>
    <t xml:space="preserve">Carrinho com produtos somando subtotal de R$ 210,00 (ajuste produtos/quantidades conforme os preços do ambiente; máx. 5 un. por produto). BEMVINDO10 aplicado.</t>
  </si>
  <si>
    <t xml:space="preserve">1. Remover o cupom.
2. Verificar o resumo.</t>
  </si>
  <si>
    <t xml:space="preserve">Sem desconto; frete grátis; total R$ 210,00.</t>
  </si>
  <si>
    <t xml:space="preserve">TM-023</t>
  </si>
  <si>
    <t xml:space="preserve">Cupom aplicado persiste ao recarregar a página</t>
  </si>
  <si>
    <t xml:space="preserve">1. Recarregar a página (F5).
2. Navegar para outra página e voltar ao carrinho.</t>
  </si>
  <si>
    <t xml:space="preserve">Comportamento não especificado: registrar. Valores devem permanecer consistentes com o estado exibido.</t>
  </si>
  <si>
    <t xml:space="preserve">TM-024</t>
  </si>
  <si>
    <t xml:space="preserve">CA06</t>
  </si>
  <si>
    <t xml:space="preserve">Frete com subtotal R$ 199,99 (logo abaixo do limite)</t>
  </si>
  <si>
    <t xml:space="preserve">Carrinho com produtos somando subtotal de R$ 199,99 (ajuste produtos/quantidades conforme os preços do ambiente; máx. 5 un. por produto).</t>
  </si>
  <si>
    <t xml:space="preserve">1. Abrir o carrinho.
2. Verificar frete e mensagem.</t>
  </si>
  <si>
    <t xml:space="preserve">Frete R$ 19,90; mensagem informa que faltam R$ 0,01 para o frete grátis.</t>
  </si>
  <si>
    <t xml:space="preserve">TM-025</t>
  </si>
  <si>
    <t xml:space="preserve">Frete com subtotal R$ 200,00 (limite, inclusive)</t>
  </si>
  <si>
    <t xml:space="preserve">Carrinho com produtos somando subtotal de R$ 200,00 (ajuste produtos/quantidades conforme os preços do ambiente; máx. 5 un. por produto).</t>
  </si>
  <si>
    <t xml:space="preserve">1. Abrir o carrinho.
2. Verificar frete.</t>
  </si>
  <si>
    <t xml:space="preserve">Frete grátis; total R$ 200,00.</t>
  </si>
  <si>
    <t xml:space="preserve">TM-026</t>
  </si>
  <si>
    <t xml:space="preserve">Frete com subtotal R$ 200,01 (logo acima do limite)</t>
  </si>
  <si>
    <t xml:space="preserve">Carrinho com produtos somando subtotal de R$ 200,01 (ajuste produtos/quantidades conforme os preços do ambiente; máx. 5 un. por produto).</t>
  </si>
  <si>
    <t xml:space="preserve">Frete grátis.</t>
  </si>
  <si>
    <t xml:space="preserve">TM-027</t>
  </si>
  <si>
    <t xml:space="preserve">Frete grátis com subtotal bem acima do limite</t>
  </si>
  <si>
    <t xml:space="preserve">Carrinho com produtos somando subtotal de R$ 500,00 (ajuste produtos/quantidades conforme os preços do ambiente; máx. 5 un. por produto).</t>
  </si>
  <si>
    <t xml:space="preserve">Frete grátis; total R$ 500,00.</t>
  </si>
  <si>
    <t xml:space="preserve">TM-028</t>
  </si>
  <si>
    <t xml:space="preserve">CA07</t>
  </si>
  <si>
    <t xml:space="preserve">Frete fixo e valor restante para frete grátis</t>
  </si>
  <si>
    <t xml:space="preserve">Carrinho com produtos somando subtotal de R$ 150,00 (ajuste produtos/quantidades conforme os preços do ambiente; máx. 5 un. por produto).</t>
  </si>
  <si>
    <t xml:space="preserve">Frete R$ 19,90; carrinho informa que faltam R$ 50,00 para o frete grátis.</t>
  </si>
  <si>
    <t xml:space="preserve">TM-029</t>
  </si>
  <si>
    <t xml:space="preserve">Valor restante calculado corretamente</t>
  </si>
  <si>
    <t xml:space="preserve">1. Abrir o carrinho.
2. Verificar a mensagem.</t>
  </si>
  <si>
    <t xml:space="preserve">Mensagem informa que faltam R$ 100,00 para o frete grátis.</t>
  </si>
  <si>
    <t xml:space="preserve">TM-030</t>
  </si>
  <si>
    <t xml:space="preserve">Mensagem de valor restante some quando o frete é grátis</t>
  </si>
  <si>
    <t xml:space="preserve">1. Abrir o carrinho.
2. Verificar o resumo.</t>
  </si>
  <si>
    <t xml:space="preserve">Frete grátis; nenhuma mensagem de valor faltante.</t>
  </si>
  <si>
    <t xml:space="preserve">TM-031</t>
  </si>
  <si>
    <t xml:space="preserve">Mensagem atualiza ao alterar a quantidade</t>
  </si>
  <si>
    <t xml:space="preserve">Carrinho com 1 unidade de produto de R$ 150,00 (ou similar).</t>
  </si>
  <si>
    <t xml:space="preserve">1. Verificar a mensagem de valor restante.
2. Aumentar a quantidade para 2.
3. Reduzir novamente para 1.</t>
  </si>
  <si>
    <t xml:space="preserve">Com 2 un.: frete grátis, mensagem some. Com 1 un.: frete R$ 19,90 e mensagem volta com valor correto.</t>
  </si>
  <si>
    <t xml:space="preserve">TM-032</t>
  </si>
  <si>
    <t xml:space="preserve">Carrinho vazio (comportamento do frete)</t>
  </si>
  <si>
    <t xml:space="preserve">Carrinho vazio.</t>
  </si>
  <si>
    <t xml:space="preserve">1. Abrir o carrinho.
2. Verificar resumo, frete e mensagem.</t>
  </si>
  <si>
    <t xml:space="preserve">Não especificado: registrar. Esperado: sem frete cobrado indevidamente e sem erro de cálculo.</t>
  </si>
  <si>
    <t xml:space="preserve">TM-033</t>
  </si>
  <si>
    <t xml:space="preserve">CA08</t>
  </si>
  <si>
    <t xml:space="preserve">Frete grátis usa subtotal antes do desconto (R$ 205,00)</t>
  </si>
  <si>
    <t xml:space="preserve">Carrinho com produtos somando subtotal de R$ 205,00 (ajuste produtos/quantidades conforme os preços do ambiente; máx. 5 un. por produto).</t>
  </si>
  <si>
    <t xml:space="preserve">1. Aplicar BEMVINDO10.
2. Verificar o resumo.</t>
  </si>
  <si>
    <t xml:space="preserve">Desconto R$ 20,50; frete grátis; total R$ 184,50 (mesmo com subtotal pós-desconto abaixo de R$ 200,00).</t>
  </si>
  <si>
    <t xml:space="preserve">TM-034</t>
  </si>
  <si>
    <t xml:space="preserve">Subtotal exatamente R$ 200,00 com cupom</t>
  </si>
  <si>
    <t xml:space="preserve">Desconto R$ 20,00; frete grátis; total R$ 180,00.</t>
  </si>
  <si>
    <t xml:space="preserve">TM-035</t>
  </si>
  <si>
    <t xml:space="preserve">Subtotal R$ 199,99 com cupom (frete não fica grátis)</t>
  </si>
  <si>
    <t xml:space="preserve">Desconto R$ 20,00; frete R$ 19,90; total R$ 199,89.</t>
  </si>
  <si>
    <t xml:space="preserve">TM-036</t>
  </si>
  <si>
    <t xml:space="preserve">CA09</t>
  </si>
  <si>
    <t xml:space="preserve">Desconto do cupom não incide sobre o frete</t>
  </si>
  <si>
    <t xml:space="preserve">1. Aplicar BEMVINDO10.
2. Conferir o valor do frete antes e depois do cupom.</t>
  </si>
  <si>
    <t xml:space="preserve">Frete permanece R$ 19,90 (sem desconto); desconto R$ 10,00 só sobre produtos; total R$ 109,90.</t>
  </si>
  <si>
    <t xml:space="preserve">TM-037</t>
  </si>
  <si>
    <t xml:space="preserve">CA10</t>
  </si>
  <si>
    <t xml:space="preserve">Adicionar 5 unidades do mesmo produto (UI)</t>
  </si>
  <si>
    <t xml:space="preserve">1. Abrir a página de um produto.
2. Definir quantidade 5.
3. Adicionar ao carrinho.</t>
  </si>
  <si>
    <t xml:space="preserve">Carrinho contém 5 unidades do produto.</t>
  </si>
  <si>
    <t xml:space="preserve">TM-038</t>
  </si>
  <si>
    <t xml:space="preserve">Bloquear a 6ª unidade pela página do produto (UI)</t>
  </si>
  <si>
    <t xml:space="preserve">Carrinho com 5 unidades de um produto.</t>
  </si>
  <si>
    <t xml:space="preserve">1. Voltar à página do mesmo produto.
2. Tentar adicionar mais 1 unidade.</t>
  </si>
  <si>
    <t xml:space="preserve">Adição bloqueada com mensagem sobre o limite de 5 un. por produto; carrinho continua com 5.</t>
  </si>
  <si>
    <t xml:space="preserve">TM-039</t>
  </si>
  <si>
    <t xml:space="preserve">Alterar quantidade no carrinho para 6 (UI)</t>
  </si>
  <si>
    <t xml:space="preserve">Carrinho com 1 unidade de um produto.</t>
  </si>
  <si>
    <t xml:space="preserve">1. No carrinho, alterar a quantidade para 6 (botão +, campo numérico ou ambos).</t>
  </si>
  <si>
    <t xml:space="preserve">Alteração bloqueada com mensagem sobre o limite; quantidade permanece válida (máx. 5).</t>
  </si>
  <si>
    <t xml:space="preserve">TM-040</t>
  </si>
  <si>
    <t xml:space="preserve">Limite é por produto, não por pedido</t>
  </si>
  <si>
    <t xml:space="preserve">Carrinho com 5 unidades do produto A.</t>
  </si>
  <si>
    <t xml:space="preserve">1. Adicionar 5 unidades do produto B.</t>
  </si>
  <si>
    <t xml:space="preserve">Carrinho aceita 5 un. de A e 5 un. de B.</t>
  </si>
  <si>
    <t xml:space="preserve">TM-041</t>
  </si>
  <si>
    <t xml:space="preserve">API: adicionar 5 unidades</t>
  </si>
  <si>
    <t xml:space="preserve">Ferramenta de API (Postman/Insomnia/curl) configurada conforme a documentação da v2.3.0. Pedido sem itens.</t>
  </si>
  <si>
    <t xml:space="preserve">1. Enviar requisição de adicionar 5 unidades de um produto ao pedido.</t>
  </si>
  <si>
    <t xml:space="preserve">Sucesso (2xx); pedido com 5 unidades.</t>
  </si>
  <si>
    <t xml:space="preserve">TM-042</t>
  </si>
  <si>
    <t xml:space="preserve">API: adicionar 6 unidades</t>
  </si>
  <si>
    <t xml:space="preserve">Mesmo cenário da API. Pedido sem itens.</t>
  </si>
  <si>
    <t xml:space="preserve">1. Enviar requisição de adicionar 6 unidades de um produto.
2. Repetir com 100 unidades.</t>
  </si>
  <si>
    <t xml:space="preserve">Erro de validação (4xx) com mensagem clara; item não adicionado.</t>
  </si>
  <si>
    <t xml:space="preserve">TM-043</t>
  </si>
  <si>
    <t xml:space="preserve">API: acúmulo acima de 5 em chamadas sucessivas</t>
  </si>
  <si>
    <t xml:space="preserve">1. Adicionar 3 unidades de um produto.
2. Adicionar mais 3 unidades do mesmo produto.</t>
  </si>
  <si>
    <t xml:space="preserve">Segunda chamada rejeitada (4xx); pedido segue com 3 unidades.</t>
  </si>
  <si>
    <t xml:space="preserve">TM-044</t>
  </si>
  <si>
    <t xml:space="preserve">API: quantidades inválidas</t>
  </si>
  <si>
    <t xml:space="preserve">Mesmo cenário da API.</t>
  </si>
  <si>
    <t xml:space="preserve">1. Enviar quantidade 0.
2. Enviar -1.
3. Enviar 1.5.
4. Enviar "abc".</t>
  </si>
  <si>
    <t xml:space="preserve">Todas rejeitadas com erro de validação (4xx); nenhum item adicionado; sem erro 5xx.</t>
  </si>
  <si>
    <t xml:space="preserve">TM-045</t>
  </si>
  <si>
    <t xml:space="preserve">Contornar o limite alterando o campo no navegador</t>
  </si>
  <si>
    <t xml:space="preserve">1. Abrir as ferramentas de desenvolvedor.
2. Remover o atributo max (se existir) do campo de quantidade ou editar o valor.
3. Enviar quantidade 6.</t>
  </si>
  <si>
    <t xml:space="preserve">Servidor rejeita; limite de 5 mantido (regra vale também no backend).</t>
  </si>
  <si>
    <t xml:space="preserve">TM-046</t>
  </si>
  <si>
    <t xml:space="preserve">CA11</t>
  </si>
  <si>
    <t xml:space="preserve">Arredondamento: subtotal R$ 33,33</t>
  </si>
  <si>
    <t xml:space="preserve">Carrinho com produtos somando subtotal de R$ 33,33 (ajuste produtos/quantidades conforme os preços do ambiente; máx. 5 un. por produto).</t>
  </si>
  <si>
    <t xml:space="preserve">1. Aplicar BEMVINDO10.
2. Conferir desconto e total.</t>
  </si>
  <si>
    <t xml:space="preserve">Desconto R$ 3,33 (3,333 arredondado); frete R$ 19,90; total R$ 49,90.</t>
  </si>
  <si>
    <t xml:space="preserve">TM-047</t>
  </si>
  <si>
    <t xml:space="preserve">Arredondamento: subtotal R$ 19,99</t>
  </si>
  <si>
    <t xml:space="preserve">Carrinho com produtos somando subtotal de R$ 19,99 (ajuste produtos/quantidades conforme os preços do ambiente; máx. 5 un. por produto).</t>
  </si>
  <si>
    <t xml:space="preserve">Desconto R$ 2,00 (1,999 arredondado); frete R$ 19,90; total R$ 37,89.</t>
  </si>
  <si>
    <t xml:space="preserve">TM-048</t>
  </si>
  <si>
    <t xml:space="preserve">Arredondamento no ponto médio: subtotal R$ 10,05</t>
  </si>
  <si>
    <t xml:space="preserve">Carrinho com produtos somando subtotal de R$ 10,05 (ajuste produtos/quantidades conforme os preços do ambiente; máx. 5 un. por produto).</t>
  </si>
  <si>
    <t xml:space="preserve">Desconto R$ 1,01 (1,005 arredonda para cima); frete R$ 19,90; total R$ 28,94. (Premissa: half-up; confirmar na documentação.)</t>
  </si>
  <si>
    <t xml:space="preserve">TM-049</t>
  </si>
  <si>
    <t xml:space="preserve">Arredondamento: subtotal R$ 99,99</t>
  </si>
  <si>
    <t xml:space="preserve">Carrinho com produtos somando subtotal de R$ 99,99 (ajuste produtos/quantidades conforme os preços do ambiente; máx. 5 un. por produto).</t>
  </si>
  <si>
    <t xml:space="preserve">Desconto R$ 10,00 (9,999 arredondado); frete R$ 19,90; total R$ 109,89.</t>
  </si>
  <si>
    <t xml:space="preserve">TM-050</t>
  </si>
  <si>
    <t xml:space="preserve">Subtotal com várias unidades exibe 2 casas decimais</t>
  </si>
  <si>
    <t xml:space="preserve">Carrinho com 3 unidades de produto de R$ 33,33.</t>
  </si>
  <si>
    <t xml:space="preserve">1. Abrir o carrinho.
2. Conferir subtotal, frete e total.</t>
  </si>
  <si>
    <t xml:space="preserve">Subtotal R$ 99,99; todos os valores com exatamente 2 casas decimais.</t>
  </si>
  <si>
    <t xml:space="preserve">TM-051</t>
  </si>
  <si>
    <t xml:space="preserve">API retorna valores com 2 casas decimais</t>
  </si>
  <si>
    <t xml:space="preserve">Mesmo cenário da API. Pedido com subtotal de R$ 33,33.</t>
  </si>
  <si>
    <t xml:space="preserve">1. Aplicar BEMVINDO10 via API.
2. Conferir os campos de desconto, frete e total na resposta.</t>
  </si>
  <si>
    <t xml:space="preserve">Valores com no máximo 2 casas decimais; desconto retornado 3.33.</t>
  </si>
  <si>
    <t xml:space="preserve">TM-052</t>
  </si>
  <si>
    <t xml:space="preserve">Consistência entre interface e API</t>
  </si>
  <si>
    <t xml:space="preserve">Pedido com cupom aplicado.</t>
  </si>
  <si>
    <t xml:space="preserve">1. Comparar desconto, frete e total exibidos na tela com os retornados pela API.</t>
  </si>
  <si>
    <t xml:space="preserve">Valores idênticos nos dois canais.</t>
  </si>
  <si>
    <t xml:space="preserve">Resumo da execução manual — VZS-142</t>
  </si>
  <si>
    <t xml:space="preserve">Total de casos</t>
  </si>
  <si>
    <t xml:space="preserve">Passou</t>
  </si>
  <si>
    <t xml:space="preserve">Falhou</t>
  </si>
  <si>
    <t xml:space="preserve">Bloqueado</t>
  </si>
  <si>
    <t xml:space="preserve">% executado</t>
  </si>
  <si>
    <t xml:space="preserve">% de falha (sobre executados)</t>
  </si>
  <si>
    <t xml:space="preserve">Por critério de aceite</t>
  </si>
  <si>
    <t xml:space="preserve">Total</t>
  </si>
  <si>
    <t xml:space="preserve">Legenda e instruções</t>
  </si>
  <si>
    <t xml:space="preserve">Como preencher</t>
  </si>
  <si>
    <t xml:space="preserve">Preencha apenas as colunas amarelas da aba Casos de Teste: Resultado obtido, Status, Bug ID e Evidência. A aba Resumo se atualiza sozinha.</t>
  </si>
  <si>
    <t xml:space="preserve">Não executado (padrão) · Passou · Falhou · Bloqueado (não foi possível executar).</t>
  </si>
  <si>
    <t xml:space="preserve">Exemplo de preenchimento</t>
  </si>
  <si>
    <t xml:space="preserve">Resultado obtido: "Desconto exibido R$ 9,00 (esperado R$ 10,00)" · Status: Falhou · Bug ID: BUG-001 · Evidência: evidencias/TM-001.png</t>
  </si>
  <si>
    <t xml:space="preserve">Tipos</t>
  </si>
  <si>
    <t xml:space="preserve">Funcional = fluxo esperado · Negativo = entrada inválida · Limite = valor-limite · Exploratório = comportamento não especificado nos CAs (registrar o que for observado).</t>
  </si>
  <si>
    <t xml:space="preserve">Premissas</t>
  </si>
  <si>
    <t xml:space="preserve">Cupom válido</t>
  </si>
  <si>
    <t xml:space="preserve">BEMVINDO10 (10% sobre o subtotal dos produtos), conforme CA01.</t>
  </si>
  <si>
    <t xml:space="preserve">Cupom expirado / 2º cupom</t>
  </si>
  <si>
    <t xml:space="preserve">Os códigos não estão nos critérios de aceite. Use os cupons existentes no ambiente e anote o código usado em Resultado obtido.</t>
  </si>
  <si>
    <t xml:space="preserve">Subtotais</t>
  </si>
  <si>
    <t xml:space="preserve">Os preços dependem do catálogo do ambiente. Combine produtos e quantidades até atingir o subtotal pedido (máx. 5 unidades por produto).</t>
  </si>
  <si>
    <t xml:space="preserve">Arredondamento</t>
  </si>
  <si>
    <t xml:space="preserve">Assumido half-up (0,005 sobe para 0,01). Confirmar na documentação.</t>
  </si>
  <si>
    <t xml:space="preserve">Assumido: subtotal − desconto + frete.</t>
  </si>
  <si>
    <t xml:space="preserve">Mensagens</t>
  </si>
  <si>
    <t xml:space="preserve">As únicas mensagens com texto definido são "Cupom inválido." e "Cupom expirado.". As demais (limite de 5 un., valor faltante) devem ser registradas como exibidas.</t>
  </si>
  <si>
    <t xml:space="preserve">API</t>
  </si>
  <si>
    <t xml:space="preserve">Endpoints e payloads conforme a documentação da v2.3.0.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</si>
</sst>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38"/>
    <col collapsed="false" customWidth="true" hidden="false" outlineLevel="0" max="7" min="7" style="0" width="48"/>
    <col collapsed="false" customWidth="true" hidden="false" outlineLevel="0" max="8" min="8" style="0" width="44"/>
    <col collapsed="false" customWidth="true" hidden="false" outlineLevel="0" max="9" min="9" style="0" width="36"/>
    <col collapsed="false" customWidth="true" hidden="false" outlineLevel="0" max="10" min="10" style="0" width="15"/>
    <col collapsed="false" customWidth="true" hidden="false" outlineLevel="0" max="11" min="11" style="0" width="10"/>
    <col collapsed="false" customWidth="true" hidden="false" outlineLevel="0" max="12" min="12" style="0" width="2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57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/>
      <c r="J2" s="5" t="s">
        <v>20</v>
      </c>
      <c r="K2" s="5"/>
      <c r="L2" s="4"/>
    </row>
    <row r="3" customFormat="false" ht="57.75" hidden="false" customHeight="true" outlineLevel="0" collapsed="false">
      <c r="A3" s="2" t="s">
        <v>21</v>
      </c>
      <c r="B3" s="2" t="s">
        <v>13</v>
      </c>
      <c r="C3" s="2" t="s">
        <v>14</v>
      </c>
      <c r="D3" s="2" t="s">
        <v>15</v>
      </c>
      <c r="E3" s="3" t="s">
        <v>22</v>
      </c>
      <c r="F3" s="3" t="s">
        <v>23</v>
      </c>
      <c r="G3" s="3" t="s">
        <v>24</v>
      </c>
      <c r="H3" s="3" t="s">
        <v>25</v>
      </c>
      <c r="I3" s="4"/>
      <c r="J3" s="5" t="s">
        <v>20</v>
      </c>
      <c r="K3" s="5"/>
      <c r="L3" s="4"/>
    </row>
    <row r="4" customFormat="false" ht="70.5" hidden="false" customHeight="true" outlineLevel="0" collapsed="false">
      <c r="A4" s="2" t="s">
        <v>26</v>
      </c>
      <c r="B4" s="2" t="s">
        <v>13</v>
      </c>
      <c r="C4" s="2" t="s">
        <v>14</v>
      </c>
      <c r="D4" s="2" t="s">
        <v>27</v>
      </c>
      <c r="E4" s="3" t="s">
        <v>28</v>
      </c>
      <c r="F4" s="3" t="s">
        <v>29</v>
      </c>
      <c r="G4" s="3" t="s">
        <v>24</v>
      </c>
      <c r="H4" s="3" t="s">
        <v>30</v>
      </c>
      <c r="I4" s="4"/>
      <c r="J4" s="5" t="s">
        <v>20</v>
      </c>
      <c r="K4" s="5"/>
      <c r="L4" s="4"/>
    </row>
    <row r="5" customFormat="false" ht="70.5" hidden="false" customHeight="true" outlineLevel="0" collapsed="false">
      <c r="A5" s="2" t="s">
        <v>31</v>
      </c>
      <c r="B5" s="2" t="s">
        <v>13</v>
      </c>
      <c r="C5" s="2" t="s">
        <v>14</v>
      </c>
      <c r="D5" s="2" t="s">
        <v>27</v>
      </c>
      <c r="E5" s="3" t="s">
        <v>32</v>
      </c>
      <c r="F5" s="3" t="s">
        <v>33</v>
      </c>
      <c r="G5" s="3" t="s">
        <v>34</v>
      </c>
      <c r="H5" s="3" t="s">
        <v>35</v>
      </c>
      <c r="I5" s="4"/>
      <c r="J5" s="5" t="s">
        <v>20</v>
      </c>
      <c r="K5" s="5"/>
      <c r="L5" s="4"/>
    </row>
    <row r="6" customFormat="false" ht="31.5" hidden="false" customHeight="true" outlineLevel="0" collapsed="false">
      <c r="A6" s="2" t="s">
        <v>36</v>
      </c>
      <c r="B6" s="2" t="s">
        <v>37</v>
      </c>
      <c r="C6" s="2" t="s">
        <v>14</v>
      </c>
      <c r="D6" s="2" t="s">
        <v>15</v>
      </c>
      <c r="E6" s="3" t="s">
        <v>38</v>
      </c>
      <c r="F6" s="3" t="s">
        <v>39</v>
      </c>
      <c r="G6" s="3" t="s">
        <v>40</v>
      </c>
      <c r="H6" s="3" t="s">
        <v>41</v>
      </c>
      <c r="I6" s="4"/>
      <c r="J6" s="5" t="s">
        <v>20</v>
      </c>
      <c r="K6" s="5"/>
      <c r="L6" s="4"/>
    </row>
    <row r="7" customFormat="false" ht="45" hidden="false" customHeight="true" outlineLevel="0" collapsed="false">
      <c r="A7" s="2" t="s">
        <v>42</v>
      </c>
      <c r="B7" s="2" t="s">
        <v>37</v>
      </c>
      <c r="C7" s="2" t="s">
        <v>14</v>
      </c>
      <c r="D7" s="2" t="s">
        <v>27</v>
      </c>
      <c r="E7" s="3" t="s">
        <v>43</v>
      </c>
      <c r="F7" s="3" t="s">
        <v>39</v>
      </c>
      <c r="G7" s="3" t="s">
        <v>44</v>
      </c>
      <c r="H7" s="3" t="s">
        <v>45</v>
      </c>
      <c r="I7" s="4"/>
      <c r="J7" s="5" t="s">
        <v>20</v>
      </c>
      <c r="K7" s="5"/>
      <c r="L7" s="4"/>
    </row>
    <row r="8" customFormat="false" ht="70.5" hidden="false" customHeight="true" outlineLevel="0" collapsed="false">
      <c r="A8" s="2" t="s">
        <v>46</v>
      </c>
      <c r="B8" s="2" t="s">
        <v>37</v>
      </c>
      <c r="C8" s="2" t="s">
        <v>14</v>
      </c>
      <c r="D8" s="2" t="s">
        <v>15</v>
      </c>
      <c r="E8" s="3" t="s">
        <v>47</v>
      </c>
      <c r="F8" s="3" t="s">
        <v>39</v>
      </c>
      <c r="G8" s="3" t="s">
        <v>48</v>
      </c>
      <c r="H8" s="3" t="s">
        <v>49</v>
      </c>
      <c r="I8" s="4"/>
      <c r="J8" s="5" t="s">
        <v>20</v>
      </c>
      <c r="K8" s="5"/>
      <c r="L8" s="4"/>
    </row>
    <row r="9" customFormat="false" ht="30" hidden="false" customHeight="true" outlineLevel="0" collapsed="false">
      <c r="A9" s="2" t="s">
        <v>50</v>
      </c>
      <c r="B9" s="2" t="s">
        <v>37</v>
      </c>
      <c r="C9" s="2" t="s">
        <v>14</v>
      </c>
      <c r="D9" s="2" t="s">
        <v>27</v>
      </c>
      <c r="E9" s="3" t="s">
        <v>51</v>
      </c>
      <c r="F9" s="3" t="s">
        <v>39</v>
      </c>
      <c r="G9" s="3" t="s">
        <v>52</v>
      </c>
      <c r="H9" s="3" t="s">
        <v>41</v>
      </c>
      <c r="I9" s="4"/>
      <c r="J9" s="5" t="s">
        <v>20</v>
      </c>
      <c r="K9" s="5"/>
      <c r="L9" s="4"/>
    </row>
    <row r="10" customFormat="false" ht="31.5" hidden="false" customHeight="true" outlineLevel="0" collapsed="false">
      <c r="A10" s="2" t="s">
        <v>53</v>
      </c>
      <c r="B10" s="2" t="s">
        <v>37</v>
      </c>
      <c r="C10" s="2" t="s">
        <v>54</v>
      </c>
      <c r="D10" s="2" t="s">
        <v>27</v>
      </c>
      <c r="E10" s="3" t="s">
        <v>55</v>
      </c>
      <c r="F10" s="3" t="s">
        <v>39</v>
      </c>
      <c r="G10" s="3" t="s">
        <v>56</v>
      </c>
      <c r="H10" s="3" t="s">
        <v>57</v>
      </c>
      <c r="I10" s="4"/>
      <c r="J10" s="5" t="s">
        <v>20</v>
      </c>
      <c r="K10" s="5"/>
      <c r="L10" s="4"/>
    </row>
    <row r="11" customFormat="false" ht="31.5" hidden="false" customHeight="true" outlineLevel="0" collapsed="false">
      <c r="A11" s="2" t="s">
        <v>58</v>
      </c>
      <c r="B11" s="2" t="s">
        <v>59</v>
      </c>
      <c r="C11" s="2" t="s">
        <v>60</v>
      </c>
      <c r="D11" s="2" t="s">
        <v>15</v>
      </c>
      <c r="E11" s="3" t="s">
        <v>61</v>
      </c>
      <c r="F11" s="3" t="s">
        <v>39</v>
      </c>
      <c r="G11" s="3" t="s">
        <v>62</v>
      </c>
      <c r="H11" s="3" t="s">
        <v>63</v>
      </c>
      <c r="I11" s="4"/>
      <c r="J11" s="5" t="s">
        <v>20</v>
      </c>
      <c r="K11" s="5"/>
      <c r="L11" s="4"/>
    </row>
    <row r="12" customFormat="false" ht="45" hidden="false" customHeight="true" outlineLevel="0" collapsed="false">
      <c r="A12" s="2" t="s">
        <v>64</v>
      </c>
      <c r="B12" s="2" t="s">
        <v>59</v>
      </c>
      <c r="C12" s="2" t="s">
        <v>54</v>
      </c>
      <c r="D12" s="2" t="s">
        <v>27</v>
      </c>
      <c r="E12" s="3" t="s">
        <v>65</v>
      </c>
      <c r="F12" s="3" t="s">
        <v>39</v>
      </c>
      <c r="G12" s="3" t="s">
        <v>66</v>
      </c>
      <c r="H12" s="3" t="s">
        <v>67</v>
      </c>
      <c r="I12" s="4"/>
      <c r="J12" s="5" t="s">
        <v>20</v>
      </c>
      <c r="K12" s="5"/>
      <c r="L12" s="4"/>
    </row>
    <row r="13" customFormat="false" ht="31.5" hidden="false" customHeight="true" outlineLevel="0" collapsed="false">
      <c r="A13" s="2" t="s">
        <v>68</v>
      </c>
      <c r="B13" s="2" t="s">
        <v>59</v>
      </c>
      <c r="C13" s="2" t="s">
        <v>54</v>
      </c>
      <c r="D13" s="2" t="s">
        <v>69</v>
      </c>
      <c r="E13" s="3" t="s">
        <v>70</v>
      </c>
      <c r="F13" s="3" t="s">
        <v>39</v>
      </c>
      <c r="G13" s="3" t="s">
        <v>71</v>
      </c>
      <c r="H13" s="3" t="s">
        <v>72</v>
      </c>
      <c r="I13" s="4"/>
      <c r="J13" s="5" t="s">
        <v>20</v>
      </c>
      <c r="K13" s="5"/>
      <c r="L13" s="4"/>
    </row>
    <row r="14" customFormat="false" ht="57.75" hidden="false" customHeight="true" outlineLevel="0" collapsed="false">
      <c r="A14" s="2" t="s">
        <v>73</v>
      </c>
      <c r="B14" s="2" t="s">
        <v>59</v>
      </c>
      <c r="C14" s="2" t="s">
        <v>54</v>
      </c>
      <c r="D14" s="2" t="s">
        <v>27</v>
      </c>
      <c r="E14" s="3" t="s">
        <v>74</v>
      </c>
      <c r="F14" s="3" t="s">
        <v>39</v>
      </c>
      <c r="G14" s="3" t="s">
        <v>75</v>
      </c>
      <c r="H14" s="3" t="s">
        <v>76</v>
      </c>
      <c r="I14" s="4"/>
      <c r="J14" s="5" t="s">
        <v>20</v>
      </c>
      <c r="K14" s="5"/>
      <c r="L14" s="4"/>
    </row>
    <row r="15" customFormat="false" ht="45" hidden="false" customHeight="true" outlineLevel="0" collapsed="false">
      <c r="A15" s="2" t="s">
        <v>77</v>
      </c>
      <c r="B15" s="2" t="s">
        <v>59</v>
      </c>
      <c r="C15" s="2" t="s">
        <v>60</v>
      </c>
      <c r="D15" s="2" t="s">
        <v>27</v>
      </c>
      <c r="E15" s="3" t="s">
        <v>78</v>
      </c>
      <c r="F15" s="3" t="s">
        <v>39</v>
      </c>
      <c r="G15" s="3" t="s">
        <v>79</v>
      </c>
      <c r="H15" s="3" t="s">
        <v>80</v>
      </c>
      <c r="I15" s="4"/>
      <c r="J15" s="5" t="s">
        <v>20</v>
      </c>
      <c r="K15" s="5"/>
      <c r="L15" s="4"/>
    </row>
    <row r="16" customFormat="false" ht="31.5" hidden="false" customHeight="true" outlineLevel="0" collapsed="false">
      <c r="A16" s="2" t="s">
        <v>81</v>
      </c>
      <c r="B16" s="2" t="s">
        <v>59</v>
      </c>
      <c r="C16" s="2" t="s">
        <v>60</v>
      </c>
      <c r="D16" s="2" t="s">
        <v>27</v>
      </c>
      <c r="E16" s="3" t="s">
        <v>82</v>
      </c>
      <c r="F16" s="3" t="s">
        <v>83</v>
      </c>
      <c r="G16" s="3" t="s">
        <v>62</v>
      </c>
      <c r="H16" s="3" t="s">
        <v>84</v>
      </c>
      <c r="I16" s="4"/>
      <c r="J16" s="5" t="s">
        <v>20</v>
      </c>
      <c r="K16" s="5"/>
      <c r="L16" s="4"/>
    </row>
    <row r="17" customFormat="false" ht="45" hidden="false" customHeight="true" outlineLevel="0" collapsed="false">
      <c r="A17" s="2" t="s">
        <v>85</v>
      </c>
      <c r="B17" s="2" t="s">
        <v>86</v>
      </c>
      <c r="C17" s="2" t="s">
        <v>60</v>
      </c>
      <c r="D17" s="2" t="s">
        <v>15</v>
      </c>
      <c r="E17" s="3" t="s">
        <v>87</v>
      </c>
      <c r="F17" s="3" t="s">
        <v>88</v>
      </c>
      <c r="G17" s="3" t="s">
        <v>89</v>
      </c>
      <c r="H17" s="3" t="s">
        <v>90</v>
      </c>
      <c r="I17" s="4"/>
      <c r="J17" s="5" t="s">
        <v>20</v>
      </c>
      <c r="K17" s="5"/>
      <c r="L17" s="4"/>
    </row>
    <row r="18" customFormat="false" ht="31.5" hidden="false" customHeight="true" outlineLevel="0" collapsed="false">
      <c r="A18" s="2" t="s">
        <v>91</v>
      </c>
      <c r="B18" s="2" t="s">
        <v>86</v>
      </c>
      <c r="C18" s="2" t="s">
        <v>60</v>
      </c>
      <c r="D18" s="2" t="s">
        <v>27</v>
      </c>
      <c r="E18" s="3" t="s">
        <v>92</v>
      </c>
      <c r="F18" s="3" t="s">
        <v>83</v>
      </c>
      <c r="G18" s="3" t="s">
        <v>89</v>
      </c>
      <c r="H18" s="3" t="s">
        <v>93</v>
      </c>
      <c r="I18" s="4"/>
      <c r="J18" s="5" t="s">
        <v>20</v>
      </c>
      <c r="K18" s="5"/>
      <c r="L18" s="4"/>
    </row>
    <row r="19" customFormat="false" ht="45" hidden="false" customHeight="true" outlineLevel="0" collapsed="false">
      <c r="A19" s="2" t="s">
        <v>94</v>
      </c>
      <c r="B19" s="2" t="s">
        <v>86</v>
      </c>
      <c r="C19" s="2" t="s">
        <v>95</v>
      </c>
      <c r="D19" s="2" t="s">
        <v>27</v>
      </c>
      <c r="E19" s="3" t="s">
        <v>96</v>
      </c>
      <c r="F19" s="3" t="s">
        <v>97</v>
      </c>
      <c r="G19" s="3" t="s">
        <v>98</v>
      </c>
      <c r="H19" s="3" t="s">
        <v>99</v>
      </c>
      <c r="I19" s="4"/>
      <c r="J19" s="5" t="s">
        <v>20</v>
      </c>
      <c r="K19" s="5"/>
      <c r="L19" s="4"/>
    </row>
    <row r="20" customFormat="false" ht="45" hidden="false" customHeight="true" outlineLevel="0" collapsed="false">
      <c r="A20" s="2" t="s">
        <v>100</v>
      </c>
      <c r="B20" s="2" t="s">
        <v>101</v>
      </c>
      <c r="C20" s="2" t="s">
        <v>14</v>
      </c>
      <c r="D20" s="2" t="s">
        <v>15</v>
      </c>
      <c r="E20" s="3" t="s">
        <v>102</v>
      </c>
      <c r="F20" s="3" t="s">
        <v>103</v>
      </c>
      <c r="G20" s="3" t="s">
        <v>104</v>
      </c>
      <c r="H20" s="3" t="s">
        <v>105</v>
      </c>
      <c r="I20" s="4"/>
      <c r="J20" s="5" t="s">
        <v>20</v>
      </c>
      <c r="K20" s="5"/>
      <c r="L20" s="4"/>
    </row>
    <row r="21" customFormat="false" ht="45" hidden="false" customHeight="true" outlineLevel="0" collapsed="false">
      <c r="A21" s="2" t="s">
        <v>106</v>
      </c>
      <c r="B21" s="2" t="s">
        <v>101</v>
      </c>
      <c r="C21" s="2" t="s">
        <v>14</v>
      </c>
      <c r="D21" s="2" t="s">
        <v>15</v>
      </c>
      <c r="E21" s="3" t="s">
        <v>107</v>
      </c>
      <c r="F21" s="3" t="s">
        <v>108</v>
      </c>
      <c r="G21" s="3" t="s">
        <v>109</v>
      </c>
      <c r="H21" s="3" t="s">
        <v>110</v>
      </c>
      <c r="I21" s="4"/>
      <c r="J21" s="5" t="s">
        <v>20</v>
      </c>
      <c r="K21" s="5"/>
      <c r="L21" s="4"/>
    </row>
    <row r="22" customFormat="false" ht="31.5" hidden="false" customHeight="true" outlineLevel="0" collapsed="false">
      <c r="A22" s="2" t="s">
        <v>111</v>
      </c>
      <c r="B22" s="2" t="s">
        <v>101</v>
      </c>
      <c r="C22" s="2" t="s">
        <v>14</v>
      </c>
      <c r="D22" s="2" t="s">
        <v>27</v>
      </c>
      <c r="E22" s="3" t="s">
        <v>112</v>
      </c>
      <c r="F22" s="3" t="s">
        <v>83</v>
      </c>
      <c r="G22" s="3" t="s">
        <v>113</v>
      </c>
      <c r="H22" s="3" t="s">
        <v>114</v>
      </c>
      <c r="I22" s="4"/>
      <c r="J22" s="5" t="s">
        <v>20</v>
      </c>
      <c r="K22" s="5"/>
      <c r="L22" s="4"/>
    </row>
    <row r="23" customFormat="false" ht="57.75" hidden="false" customHeight="true" outlineLevel="0" collapsed="false">
      <c r="A23" s="2" t="s">
        <v>115</v>
      </c>
      <c r="B23" s="2" t="s">
        <v>101</v>
      </c>
      <c r="C23" s="2" t="s">
        <v>14</v>
      </c>
      <c r="D23" s="2" t="s">
        <v>27</v>
      </c>
      <c r="E23" s="3" t="s">
        <v>116</v>
      </c>
      <c r="F23" s="3" t="s">
        <v>117</v>
      </c>
      <c r="G23" s="3" t="s">
        <v>118</v>
      </c>
      <c r="H23" s="3" t="s">
        <v>119</v>
      </c>
      <c r="I23" s="4"/>
      <c r="J23" s="5" t="s">
        <v>20</v>
      </c>
      <c r="K23" s="5"/>
      <c r="L23" s="4"/>
    </row>
    <row r="24" customFormat="false" ht="45" hidden="false" customHeight="true" outlineLevel="0" collapsed="false">
      <c r="A24" s="2" t="s">
        <v>120</v>
      </c>
      <c r="B24" s="2" t="s">
        <v>101</v>
      </c>
      <c r="C24" s="2" t="s">
        <v>54</v>
      </c>
      <c r="D24" s="2" t="s">
        <v>27</v>
      </c>
      <c r="E24" s="3" t="s">
        <v>121</v>
      </c>
      <c r="F24" s="3" t="s">
        <v>83</v>
      </c>
      <c r="G24" s="3" t="s">
        <v>122</v>
      </c>
      <c r="H24" s="3" t="s">
        <v>123</v>
      </c>
      <c r="I24" s="4"/>
      <c r="J24" s="5" t="s">
        <v>20</v>
      </c>
      <c r="K24" s="5"/>
      <c r="L24" s="4"/>
    </row>
    <row r="25" customFormat="false" ht="57.75" hidden="false" customHeight="true" outlineLevel="0" collapsed="false">
      <c r="A25" s="2" t="s">
        <v>124</v>
      </c>
      <c r="B25" s="2" t="s">
        <v>125</v>
      </c>
      <c r="C25" s="2" t="s">
        <v>95</v>
      </c>
      <c r="D25" s="2" t="s">
        <v>15</v>
      </c>
      <c r="E25" s="3" t="s">
        <v>126</v>
      </c>
      <c r="F25" s="3" t="s">
        <v>127</v>
      </c>
      <c r="G25" s="3" t="s">
        <v>128</v>
      </c>
      <c r="H25" s="3" t="s">
        <v>129</v>
      </c>
      <c r="I25" s="4"/>
      <c r="J25" s="5" t="s">
        <v>20</v>
      </c>
      <c r="K25" s="5"/>
      <c r="L25" s="4"/>
    </row>
    <row r="26" customFormat="false" ht="57.75" hidden="false" customHeight="true" outlineLevel="0" collapsed="false">
      <c r="A26" s="2" t="s">
        <v>130</v>
      </c>
      <c r="B26" s="2" t="s">
        <v>125</v>
      </c>
      <c r="C26" s="2" t="s">
        <v>95</v>
      </c>
      <c r="D26" s="2" t="s">
        <v>15</v>
      </c>
      <c r="E26" s="3" t="s">
        <v>131</v>
      </c>
      <c r="F26" s="3" t="s">
        <v>132</v>
      </c>
      <c r="G26" s="3" t="s">
        <v>133</v>
      </c>
      <c r="H26" s="3" t="s">
        <v>134</v>
      </c>
      <c r="I26" s="4"/>
      <c r="J26" s="5" t="s">
        <v>20</v>
      </c>
      <c r="K26" s="5"/>
      <c r="L26" s="4"/>
    </row>
    <row r="27" customFormat="false" ht="57.75" hidden="false" customHeight="true" outlineLevel="0" collapsed="false">
      <c r="A27" s="2" t="s">
        <v>135</v>
      </c>
      <c r="B27" s="2" t="s">
        <v>125</v>
      </c>
      <c r="C27" s="2" t="s">
        <v>95</v>
      </c>
      <c r="D27" s="2" t="s">
        <v>15</v>
      </c>
      <c r="E27" s="3" t="s">
        <v>136</v>
      </c>
      <c r="F27" s="3" t="s">
        <v>137</v>
      </c>
      <c r="G27" s="3" t="s">
        <v>133</v>
      </c>
      <c r="H27" s="3" t="s">
        <v>138</v>
      </c>
      <c r="I27" s="4"/>
      <c r="J27" s="5" t="s">
        <v>20</v>
      </c>
      <c r="K27" s="5"/>
      <c r="L27" s="4"/>
    </row>
    <row r="28" customFormat="false" ht="57.75" hidden="false" customHeight="true" outlineLevel="0" collapsed="false">
      <c r="A28" s="2" t="s">
        <v>139</v>
      </c>
      <c r="B28" s="2" t="s">
        <v>125</v>
      </c>
      <c r="C28" s="2" t="s">
        <v>14</v>
      </c>
      <c r="D28" s="2" t="s">
        <v>69</v>
      </c>
      <c r="E28" s="3" t="s">
        <v>140</v>
      </c>
      <c r="F28" s="3" t="s">
        <v>141</v>
      </c>
      <c r="G28" s="3" t="s">
        <v>133</v>
      </c>
      <c r="H28" s="3" t="s">
        <v>142</v>
      </c>
      <c r="I28" s="4"/>
      <c r="J28" s="5" t="s">
        <v>20</v>
      </c>
      <c r="K28" s="5"/>
      <c r="L28" s="4"/>
    </row>
    <row r="29" customFormat="false" ht="57.75" hidden="false" customHeight="true" outlineLevel="0" collapsed="false">
      <c r="A29" s="2" t="s">
        <v>143</v>
      </c>
      <c r="B29" s="2" t="s">
        <v>144</v>
      </c>
      <c r="C29" s="2" t="s">
        <v>14</v>
      </c>
      <c r="D29" s="2" t="s">
        <v>15</v>
      </c>
      <c r="E29" s="3" t="s">
        <v>145</v>
      </c>
      <c r="F29" s="3" t="s">
        <v>146</v>
      </c>
      <c r="G29" s="3" t="s">
        <v>128</v>
      </c>
      <c r="H29" s="3" t="s">
        <v>147</v>
      </c>
      <c r="I29" s="4"/>
      <c r="J29" s="5" t="s">
        <v>20</v>
      </c>
      <c r="K29" s="5"/>
      <c r="L29" s="4"/>
    </row>
    <row r="30" customFormat="false" ht="57.75" hidden="false" customHeight="true" outlineLevel="0" collapsed="false">
      <c r="A30" s="2" t="s">
        <v>148</v>
      </c>
      <c r="B30" s="2" t="s">
        <v>144</v>
      </c>
      <c r="C30" s="2" t="s">
        <v>14</v>
      </c>
      <c r="D30" s="2" t="s">
        <v>27</v>
      </c>
      <c r="E30" s="3" t="s">
        <v>149</v>
      </c>
      <c r="F30" s="3" t="s">
        <v>17</v>
      </c>
      <c r="G30" s="3" t="s">
        <v>150</v>
      </c>
      <c r="H30" s="3" t="s">
        <v>151</v>
      </c>
      <c r="I30" s="4"/>
      <c r="J30" s="5" t="s">
        <v>20</v>
      </c>
      <c r="K30" s="5"/>
      <c r="L30" s="4"/>
    </row>
    <row r="31" customFormat="false" ht="57.75" hidden="false" customHeight="true" outlineLevel="0" collapsed="false">
      <c r="A31" s="2" t="s">
        <v>152</v>
      </c>
      <c r="B31" s="2" t="s">
        <v>144</v>
      </c>
      <c r="C31" s="2" t="s">
        <v>14</v>
      </c>
      <c r="D31" s="2" t="s">
        <v>27</v>
      </c>
      <c r="E31" s="3" t="s">
        <v>153</v>
      </c>
      <c r="F31" s="3" t="s">
        <v>132</v>
      </c>
      <c r="G31" s="3" t="s">
        <v>154</v>
      </c>
      <c r="H31" s="3" t="s">
        <v>155</v>
      </c>
      <c r="I31" s="4"/>
      <c r="J31" s="5" t="s">
        <v>20</v>
      </c>
      <c r="K31" s="5"/>
      <c r="L31" s="4"/>
    </row>
    <row r="32" customFormat="false" ht="45" hidden="false" customHeight="true" outlineLevel="0" collapsed="false">
      <c r="A32" s="2" t="s">
        <v>156</v>
      </c>
      <c r="B32" s="2" t="s">
        <v>144</v>
      </c>
      <c r="C32" s="2" t="s">
        <v>14</v>
      </c>
      <c r="D32" s="2" t="s">
        <v>27</v>
      </c>
      <c r="E32" s="3" t="s">
        <v>157</v>
      </c>
      <c r="F32" s="3" t="s">
        <v>158</v>
      </c>
      <c r="G32" s="3" t="s">
        <v>159</v>
      </c>
      <c r="H32" s="3" t="s">
        <v>160</v>
      </c>
      <c r="I32" s="4"/>
      <c r="J32" s="5" t="s">
        <v>20</v>
      </c>
      <c r="K32" s="5"/>
      <c r="L32" s="4"/>
    </row>
    <row r="33" customFormat="false" ht="45" hidden="false" customHeight="true" outlineLevel="0" collapsed="false">
      <c r="A33" s="2" t="s">
        <v>161</v>
      </c>
      <c r="B33" s="2" t="s">
        <v>144</v>
      </c>
      <c r="C33" s="2" t="s">
        <v>54</v>
      </c>
      <c r="D33" s="2" t="s">
        <v>69</v>
      </c>
      <c r="E33" s="3" t="s">
        <v>162</v>
      </c>
      <c r="F33" s="3" t="s">
        <v>163</v>
      </c>
      <c r="G33" s="3" t="s">
        <v>164</v>
      </c>
      <c r="H33" s="3" t="s">
        <v>165</v>
      </c>
      <c r="I33" s="4"/>
      <c r="J33" s="5" t="s">
        <v>20</v>
      </c>
      <c r="K33" s="5"/>
      <c r="L33" s="4"/>
    </row>
    <row r="34" customFormat="false" ht="57.75" hidden="false" customHeight="true" outlineLevel="0" collapsed="false">
      <c r="A34" s="2" t="s">
        <v>166</v>
      </c>
      <c r="B34" s="2" t="s">
        <v>167</v>
      </c>
      <c r="C34" s="2" t="s">
        <v>14</v>
      </c>
      <c r="D34" s="2" t="s">
        <v>15</v>
      </c>
      <c r="E34" s="3" t="s">
        <v>168</v>
      </c>
      <c r="F34" s="3" t="s">
        <v>169</v>
      </c>
      <c r="G34" s="3" t="s">
        <v>170</v>
      </c>
      <c r="H34" s="3" t="s">
        <v>171</v>
      </c>
      <c r="I34" s="4"/>
      <c r="J34" s="5" t="s">
        <v>20</v>
      </c>
      <c r="K34" s="5"/>
      <c r="L34" s="4"/>
    </row>
    <row r="35" customFormat="false" ht="57.75" hidden="false" customHeight="true" outlineLevel="0" collapsed="false">
      <c r="A35" s="2" t="s">
        <v>172</v>
      </c>
      <c r="B35" s="2" t="s">
        <v>167</v>
      </c>
      <c r="C35" s="2" t="s">
        <v>95</v>
      </c>
      <c r="D35" s="2" t="s">
        <v>15</v>
      </c>
      <c r="E35" s="3" t="s">
        <v>173</v>
      </c>
      <c r="F35" s="3" t="s">
        <v>132</v>
      </c>
      <c r="G35" s="3" t="s">
        <v>170</v>
      </c>
      <c r="H35" s="3" t="s">
        <v>174</v>
      </c>
      <c r="I35" s="4"/>
      <c r="J35" s="5" t="s">
        <v>20</v>
      </c>
      <c r="K35" s="5"/>
      <c r="L35" s="4"/>
    </row>
    <row r="36" customFormat="false" ht="57.75" hidden="false" customHeight="true" outlineLevel="0" collapsed="false">
      <c r="A36" s="2" t="s">
        <v>175</v>
      </c>
      <c r="B36" s="2" t="s">
        <v>167</v>
      </c>
      <c r="C36" s="2" t="s">
        <v>95</v>
      </c>
      <c r="D36" s="2" t="s">
        <v>15</v>
      </c>
      <c r="E36" s="3" t="s">
        <v>176</v>
      </c>
      <c r="F36" s="3" t="s">
        <v>127</v>
      </c>
      <c r="G36" s="3" t="s">
        <v>170</v>
      </c>
      <c r="H36" s="3" t="s">
        <v>177</v>
      </c>
      <c r="I36" s="4"/>
      <c r="J36" s="5" t="s">
        <v>20</v>
      </c>
      <c r="K36" s="5"/>
      <c r="L36" s="4"/>
    </row>
    <row r="37" customFormat="false" ht="57.75" hidden="false" customHeight="true" outlineLevel="0" collapsed="false">
      <c r="A37" s="2" t="s">
        <v>178</v>
      </c>
      <c r="B37" s="2" t="s">
        <v>179</v>
      </c>
      <c r="C37" s="2" t="s">
        <v>14</v>
      </c>
      <c r="D37" s="2" t="s">
        <v>15</v>
      </c>
      <c r="E37" s="3" t="s">
        <v>180</v>
      </c>
      <c r="F37" s="3" t="s">
        <v>17</v>
      </c>
      <c r="G37" s="3" t="s">
        <v>181</v>
      </c>
      <c r="H37" s="3" t="s">
        <v>182</v>
      </c>
      <c r="I37" s="4"/>
      <c r="J37" s="5" t="s">
        <v>20</v>
      </c>
      <c r="K37" s="5"/>
      <c r="L37" s="4"/>
    </row>
    <row r="38" customFormat="false" ht="45" hidden="false" customHeight="true" outlineLevel="0" collapsed="false">
      <c r="A38" s="2" t="s">
        <v>183</v>
      </c>
      <c r="B38" s="2" t="s">
        <v>184</v>
      </c>
      <c r="C38" s="2" t="s">
        <v>14</v>
      </c>
      <c r="D38" s="2" t="s">
        <v>15</v>
      </c>
      <c r="E38" s="3" t="s">
        <v>185</v>
      </c>
      <c r="F38" s="3" t="s">
        <v>163</v>
      </c>
      <c r="G38" s="3" t="s">
        <v>186</v>
      </c>
      <c r="H38" s="3" t="s">
        <v>187</v>
      </c>
      <c r="I38" s="4"/>
      <c r="J38" s="5" t="s">
        <v>20</v>
      </c>
      <c r="K38" s="5"/>
      <c r="L38" s="4"/>
    </row>
    <row r="39" customFormat="false" ht="31.5" hidden="false" customHeight="true" outlineLevel="0" collapsed="false">
      <c r="A39" s="2" t="s">
        <v>188</v>
      </c>
      <c r="B39" s="2" t="s">
        <v>184</v>
      </c>
      <c r="C39" s="2" t="s">
        <v>95</v>
      </c>
      <c r="D39" s="2" t="s">
        <v>15</v>
      </c>
      <c r="E39" s="3" t="s">
        <v>189</v>
      </c>
      <c r="F39" s="3" t="s">
        <v>190</v>
      </c>
      <c r="G39" s="3" t="s">
        <v>191</v>
      </c>
      <c r="H39" s="3" t="s">
        <v>192</v>
      </c>
      <c r="I39" s="4"/>
      <c r="J39" s="5" t="s">
        <v>20</v>
      </c>
      <c r="K39" s="5"/>
      <c r="L39" s="4"/>
    </row>
    <row r="40" customFormat="false" ht="31.5" hidden="false" customHeight="true" outlineLevel="0" collapsed="false">
      <c r="A40" s="2" t="s">
        <v>193</v>
      </c>
      <c r="B40" s="2" t="s">
        <v>184</v>
      </c>
      <c r="C40" s="2" t="s">
        <v>95</v>
      </c>
      <c r="D40" s="2" t="s">
        <v>15</v>
      </c>
      <c r="E40" s="3" t="s">
        <v>194</v>
      </c>
      <c r="F40" s="3" t="s">
        <v>195</v>
      </c>
      <c r="G40" s="3" t="s">
        <v>196</v>
      </c>
      <c r="H40" s="3" t="s">
        <v>197</v>
      </c>
      <c r="I40" s="4"/>
      <c r="J40" s="5" t="s">
        <v>20</v>
      </c>
      <c r="K40" s="5"/>
      <c r="L40" s="4"/>
    </row>
    <row r="41" customFormat="false" ht="30" hidden="false" customHeight="true" outlineLevel="0" collapsed="false">
      <c r="A41" s="2" t="s">
        <v>198</v>
      </c>
      <c r="B41" s="2" t="s">
        <v>184</v>
      </c>
      <c r="C41" s="2" t="s">
        <v>14</v>
      </c>
      <c r="D41" s="2" t="s">
        <v>27</v>
      </c>
      <c r="E41" s="3" t="s">
        <v>199</v>
      </c>
      <c r="F41" s="3" t="s">
        <v>200</v>
      </c>
      <c r="G41" s="3" t="s">
        <v>201</v>
      </c>
      <c r="H41" s="3" t="s">
        <v>202</v>
      </c>
      <c r="I41" s="4"/>
      <c r="J41" s="5" t="s">
        <v>20</v>
      </c>
      <c r="K41" s="5"/>
      <c r="L41" s="4"/>
    </row>
    <row r="42" customFormat="false" ht="45" hidden="false" customHeight="true" outlineLevel="0" collapsed="false">
      <c r="A42" s="2" t="s">
        <v>203</v>
      </c>
      <c r="B42" s="2" t="s">
        <v>184</v>
      </c>
      <c r="C42" s="2" t="s">
        <v>95</v>
      </c>
      <c r="D42" s="2" t="s">
        <v>15</v>
      </c>
      <c r="E42" s="3" t="s">
        <v>204</v>
      </c>
      <c r="F42" s="3" t="s">
        <v>205</v>
      </c>
      <c r="G42" s="3" t="s">
        <v>206</v>
      </c>
      <c r="H42" s="3" t="s">
        <v>207</v>
      </c>
      <c r="I42" s="4"/>
      <c r="J42" s="5" t="s">
        <v>20</v>
      </c>
      <c r="K42" s="5"/>
      <c r="L42" s="4"/>
    </row>
    <row r="43" customFormat="false" ht="45" hidden="false" customHeight="true" outlineLevel="0" collapsed="false">
      <c r="A43" s="2" t="s">
        <v>208</v>
      </c>
      <c r="B43" s="2" t="s">
        <v>184</v>
      </c>
      <c r="C43" s="2" t="s">
        <v>95</v>
      </c>
      <c r="D43" s="2" t="s">
        <v>15</v>
      </c>
      <c r="E43" s="3" t="s">
        <v>209</v>
      </c>
      <c r="F43" s="3" t="s">
        <v>210</v>
      </c>
      <c r="G43" s="3" t="s">
        <v>211</v>
      </c>
      <c r="H43" s="3" t="s">
        <v>212</v>
      </c>
      <c r="I43" s="4"/>
      <c r="J43" s="5" t="s">
        <v>20</v>
      </c>
      <c r="K43" s="5"/>
      <c r="L43" s="4"/>
    </row>
    <row r="44" customFormat="false" ht="31.5" hidden="false" customHeight="true" outlineLevel="0" collapsed="false">
      <c r="A44" s="2" t="s">
        <v>213</v>
      </c>
      <c r="B44" s="2" t="s">
        <v>184</v>
      </c>
      <c r="C44" s="2" t="s">
        <v>95</v>
      </c>
      <c r="D44" s="2" t="s">
        <v>15</v>
      </c>
      <c r="E44" s="3" t="s">
        <v>214</v>
      </c>
      <c r="F44" s="3" t="s">
        <v>210</v>
      </c>
      <c r="G44" s="3" t="s">
        <v>215</v>
      </c>
      <c r="H44" s="3" t="s">
        <v>216</v>
      </c>
      <c r="I44" s="4"/>
      <c r="J44" s="5" t="s">
        <v>20</v>
      </c>
      <c r="K44" s="5"/>
      <c r="L44" s="4"/>
    </row>
    <row r="45" customFormat="false" ht="57.75" hidden="false" customHeight="true" outlineLevel="0" collapsed="false">
      <c r="A45" s="2" t="s">
        <v>217</v>
      </c>
      <c r="B45" s="2" t="s">
        <v>184</v>
      </c>
      <c r="C45" s="2" t="s">
        <v>60</v>
      </c>
      <c r="D45" s="2" t="s">
        <v>27</v>
      </c>
      <c r="E45" s="3" t="s">
        <v>218</v>
      </c>
      <c r="F45" s="3" t="s">
        <v>219</v>
      </c>
      <c r="G45" s="3" t="s">
        <v>220</v>
      </c>
      <c r="H45" s="3" t="s">
        <v>221</v>
      </c>
      <c r="I45" s="4"/>
      <c r="J45" s="5" t="s">
        <v>20</v>
      </c>
      <c r="K45" s="5"/>
      <c r="L45" s="4"/>
    </row>
    <row r="46" customFormat="false" ht="57.75" hidden="false" customHeight="true" outlineLevel="0" collapsed="false">
      <c r="A46" s="2" t="s">
        <v>222</v>
      </c>
      <c r="B46" s="2" t="s">
        <v>184</v>
      </c>
      <c r="C46" s="2" t="s">
        <v>54</v>
      </c>
      <c r="D46" s="2" t="s">
        <v>15</v>
      </c>
      <c r="E46" s="3" t="s">
        <v>223</v>
      </c>
      <c r="F46" s="3" t="s">
        <v>195</v>
      </c>
      <c r="G46" s="3" t="s">
        <v>224</v>
      </c>
      <c r="H46" s="3" t="s">
        <v>225</v>
      </c>
      <c r="I46" s="4"/>
      <c r="J46" s="5" t="s">
        <v>20</v>
      </c>
      <c r="K46" s="5"/>
      <c r="L46" s="4"/>
    </row>
    <row r="47" customFormat="false" ht="57.75" hidden="false" customHeight="true" outlineLevel="0" collapsed="false">
      <c r="A47" s="2" t="s">
        <v>226</v>
      </c>
      <c r="B47" s="2" t="s">
        <v>227</v>
      </c>
      <c r="C47" s="2" t="s">
        <v>14</v>
      </c>
      <c r="D47" s="2" t="s">
        <v>15</v>
      </c>
      <c r="E47" s="3" t="s">
        <v>228</v>
      </c>
      <c r="F47" s="3" t="s">
        <v>229</v>
      </c>
      <c r="G47" s="3" t="s">
        <v>230</v>
      </c>
      <c r="H47" s="3" t="s">
        <v>231</v>
      </c>
      <c r="I47" s="4"/>
      <c r="J47" s="5" t="s">
        <v>20</v>
      </c>
      <c r="K47" s="5"/>
      <c r="L47" s="4"/>
    </row>
    <row r="48" customFormat="false" ht="57.75" hidden="false" customHeight="true" outlineLevel="0" collapsed="false">
      <c r="A48" s="2" t="s">
        <v>232</v>
      </c>
      <c r="B48" s="2" t="s">
        <v>227</v>
      </c>
      <c r="C48" s="2" t="s">
        <v>14</v>
      </c>
      <c r="D48" s="2" t="s">
        <v>15</v>
      </c>
      <c r="E48" s="3" t="s">
        <v>233</v>
      </c>
      <c r="F48" s="3" t="s">
        <v>234</v>
      </c>
      <c r="G48" s="3" t="s">
        <v>230</v>
      </c>
      <c r="H48" s="3" t="s">
        <v>235</v>
      </c>
      <c r="I48" s="4"/>
      <c r="J48" s="5" t="s">
        <v>20</v>
      </c>
      <c r="K48" s="5"/>
      <c r="L48" s="4"/>
    </row>
    <row r="49" customFormat="false" ht="57.75" hidden="false" customHeight="true" outlineLevel="0" collapsed="false">
      <c r="A49" s="2" t="s">
        <v>236</v>
      </c>
      <c r="B49" s="2" t="s">
        <v>227</v>
      </c>
      <c r="C49" s="2" t="s">
        <v>95</v>
      </c>
      <c r="D49" s="2" t="s">
        <v>15</v>
      </c>
      <c r="E49" s="3" t="s">
        <v>237</v>
      </c>
      <c r="F49" s="3" t="s">
        <v>238</v>
      </c>
      <c r="G49" s="3" t="s">
        <v>230</v>
      </c>
      <c r="H49" s="3" t="s">
        <v>239</v>
      </c>
      <c r="I49" s="4"/>
      <c r="J49" s="5" t="s">
        <v>20</v>
      </c>
      <c r="K49" s="5"/>
      <c r="L49" s="4"/>
    </row>
    <row r="50" customFormat="false" ht="57.75" hidden="false" customHeight="true" outlineLevel="0" collapsed="false">
      <c r="A50" s="2" t="s">
        <v>240</v>
      </c>
      <c r="B50" s="2" t="s">
        <v>227</v>
      </c>
      <c r="C50" s="2" t="s">
        <v>14</v>
      </c>
      <c r="D50" s="2" t="s">
        <v>27</v>
      </c>
      <c r="E50" s="3" t="s">
        <v>241</v>
      </c>
      <c r="F50" s="3" t="s">
        <v>242</v>
      </c>
      <c r="G50" s="3" t="s">
        <v>230</v>
      </c>
      <c r="H50" s="3" t="s">
        <v>243</v>
      </c>
      <c r="I50" s="4"/>
      <c r="J50" s="5" t="s">
        <v>20</v>
      </c>
      <c r="K50" s="5"/>
      <c r="L50" s="4"/>
    </row>
    <row r="51" customFormat="false" ht="31.5" hidden="false" customHeight="true" outlineLevel="0" collapsed="false">
      <c r="A51" s="2" t="s">
        <v>244</v>
      </c>
      <c r="B51" s="2" t="s">
        <v>227</v>
      </c>
      <c r="C51" s="2" t="s">
        <v>14</v>
      </c>
      <c r="D51" s="2" t="s">
        <v>27</v>
      </c>
      <c r="E51" s="3" t="s">
        <v>245</v>
      </c>
      <c r="F51" s="3" t="s">
        <v>246</v>
      </c>
      <c r="G51" s="3" t="s">
        <v>247</v>
      </c>
      <c r="H51" s="3" t="s">
        <v>248</v>
      </c>
      <c r="I51" s="4"/>
      <c r="J51" s="5" t="s">
        <v>20</v>
      </c>
      <c r="K51" s="5"/>
      <c r="L51" s="4"/>
    </row>
    <row r="52" customFormat="false" ht="45" hidden="false" customHeight="true" outlineLevel="0" collapsed="false">
      <c r="A52" s="2" t="s">
        <v>249</v>
      </c>
      <c r="B52" s="2" t="s">
        <v>227</v>
      </c>
      <c r="C52" s="2" t="s">
        <v>14</v>
      </c>
      <c r="D52" s="2" t="s">
        <v>27</v>
      </c>
      <c r="E52" s="3" t="s">
        <v>250</v>
      </c>
      <c r="F52" s="3" t="s">
        <v>251</v>
      </c>
      <c r="G52" s="3" t="s">
        <v>252</v>
      </c>
      <c r="H52" s="3" t="s">
        <v>253</v>
      </c>
      <c r="I52" s="4"/>
      <c r="J52" s="5" t="s">
        <v>20</v>
      </c>
      <c r="K52" s="5"/>
      <c r="L52" s="4"/>
    </row>
    <row r="53" customFormat="false" ht="31.5" hidden="false" customHeight="true" outlineLevel="0" collapsed="false">
      <c r="A53" s="2" t="s">
        <v>254</v>
      </c>
      <c r="B53" s="2" t="s">
        <v>227</v>
      </c>
      <c r="C53" s="2" t="s">
        <v>54</v>
      </c>
      <c r="D53" s="2" t="s">
        <v>27</v>
      </c>
      <c r="E53" s="3" t="s">
        <v>255</v>
      </c>
      <c r="F53" s="3" t="s">
        <v>256</v>
      </c>
      <c r="G53" s="3" t="s">
        <v>257</v>
      </c>
      <c r="H53" s="3" t="s">
        <v>258</v>
      </c>
      <c r="I53" s="4"/>
      <c r="J53" s="5" t="s">
        <v>20</v>
      </c>
      <c r="K53" s="5"/>
      <c r="L53" s="4"/>
    </row>
  </sheetData>
  <autoFilter ref="A1:L53"/>
  <conditionalFormatting sqref="J2:J53">
    <cfRule type="cellIs" priority="2" operator="equal" aboveAverage="0" equalAverage="0" bottom="0" percent="0" rank="0" text="" dxfId="4">
      <formula>"Passou"</formula>
    </cfRule>
    <cfRule type="cellIs" priority="3" operator="equal" aboveAverage="0" equalAverage="0" bottom="0" percent="0" rank="0" text="" dxfId="5">
      <formula>"Falhou"</formula>
    </cfRule>
    <cfRule type="cellIs" priority="4" operator="equal" aboveAverage="0" equalAverage="0" bottom="0" percent="0" rank="0" text="" dxfId="6">
      <formula>"Bloqueado"</formula>
    </cfRule>
  </conditionalFormatting>
  <dataValidations count="1">
    <dataValidation allowBlank="false" errorStyle="stop" operator="between" showDropDown="false" showErrorMessage="false" showInputMessage="false" sqref="J2:J53" type="list">
      <formula1>"Não executado,Passou,Falhou,Bloqueado"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6" t="s">
        <v>259</v>
      </c>
    </row>
    <row r="3" customFormat="false" ht="15" hidden="false" customHeight="false" outlineLevel="0" collapsed="false">
      <c r="A3" s="7" t="s">
        <v>260</v>
      </c>
      <c r="B3" s="8" t="n">
        <f aca="false">COUNTA('Casos de Teste'!A2:A53)</f>
        <v>52</v>
      </c>
    </row>
    <row r="4" customFormat="false" ht="15" hidden="false" customHeight="false" outlineLevel="0" collapsed="false">
      <c r="A4" s="7" t="s">
        <v>261</v>
      </c>
      <c r="B4" s="8" t="n">
        <f aca="false">COUNTIF('Casos de Teste'!J2:J53,A4)</f>
        <v>0</v>
      </c>
    </row>
    <row r="5" customFormat="false" ht="15" hidden="false" customHeight="false" outlineLevel="0" collapsed="false">
      <c r="A5" s="7" t="s">
        <v>262</v>
      </c>
      <c r="B5" s="8" t="n">
        <f aca="false">COUNTIF('Casos de Teste'!J2:J53,A5)</f>
        <v>0</v>
      </c>
    </row>
    <row r="6" customFormat="false" ht="15" hidden="false" customHeight="false" outlineLevel="0" collapsed="false">
      <c r="A6" s="7" t="s">
        <v>263</v>
      </c>
      <c r="B6" s="8" t="n">
        <f aca="false">COUNTIF('Casos de Teste'!J2:J53,A6)</f>
        <v>0</v>
      </c>
    </row>
    <row r="7" customFormat="false" ht="15" hidden="false" customHeight="false" outlineLevel="0" collapsed="false">
      <c r="A7" s="7" t="s">
        <v>20</v>
      </c>
      <c r="B7" s="8" t="n">
        <f aca="false">COUNTIF('Casos de Teste'!J2:J53,A7)</f>
        <v>52</v>
      </c>
    </row>
    <row r="8" customFormat="false" ht="15" hidden="false" customHeight="false" outlineLevel="0" collapsed="false">
      <c r="A8" s="7" t="s">
        <v>264</v>
      </c>
      <c r="B8" s="9" t="n">
        <f aca="false">IF(B3=0,0,(B3-B7)/B3)</f>
        <v>0</v>
      </c>
    </row>
    <row r="9" customFormat="false" ht="15" hidden="false" customHeight="false" outlineLevel="0" collapsed="false">
      <c r="A9" s="7" t="s">
        <v>265</v>
      </c>
      <c r="B9" s="9" t="n">
        <f aca="false">IF(B3-B7=0,0,B5/(B3-B7))</f>
        <v>0</v>
      </c>
    </row>
    <row r="11" customFormat="false" ht="15" hidden="false" customHeight="false" outlineLevel="0" collapsed="false">
      <c r="A11" s="10" t="s">
        <v>266</v>
      </c>
    </row>
    <row r="12" customFormat="false" ht="15" hidden="false" customHeight="false" outlineLevel="0" collapsed="false">
      <c r="A12" s="11" t="s">
        <v>1</v>
      </c>
      <c r="B12" s="11" t="s">
        <v>267</v>
      </c>
      <c r="C12" s="11" t="s">
        <v>261</v>
      </c>
      <c r="D12" s="11" t="s">
        <v>262</v>
      </c>
      <c r="E12" s="11" t="s">
        <v>263</v>
      </c>
      <c r="F12" s="11" t="s">
        <v>20</v>
      </c>
    </row>
    <row r="13" customFormat="false" ht="15" hidden="false" customHeight="false" outlineLevel="0" collapsed="false">
      <c r="A13" s="8" t="s">
        <v>13</v>
      </c>
      <c r="B13" s="8" t="n">
        <f aca="false">COUNTIF('Casos de Teste'!B2:B53,A13)</f>
        <v>4</v>
      </c>
      <c r="C13" s="8" t="n">
        <f aca="false">COUNTIFS('Casos de Teste'!B2:B53,$A13,'Casos de Teste'!J2:J53,"Passou")</f>
        <v>0</v>
      </c>
      <c r="D13" s="8" t="n">
        <f aca="false">COUNTIFS('Casos de Teste'!B2:B53,$A13,'Casos de Teste'!J2:J53,"Falhou")</f>
        <v>0</v>
      </c>
      <c r="E13" s="8" t="n">
        <f aca="false">COUNTIFS('Casos de Teste'!B2:B53,$A13,'Casos de Teste'!J2:J53,"Bloqueado")</f>
        <v>0</v>
      </c>
      <c r="F13" s="8" t="n">
        <f aca="false">COUNTIFS('Casos de Teste'!B2:B53,$A13,'Casos de Teste'!J2:J53,"Não executado")</f>
        <v>4</v>
      </c>
    </row>
    <row r="14" customFormat="false" ht="15" hidden="false" customHeight="false" outlineLevel="0" collapsed="false">
      <c r="A14" s="8" t="s">
        <v>37</v>
      </c>
      <c r="B14" s="8" t="n">
        <f aca="false">COUNTIF('Casos de Teste'!B2:B53,A14)</f>
        <v>5</v>
      </c>
      <c r="C14" s="8" t="n">
        <f aca="false">COUNTIFS('Casos de Teste'!B2:B53,$A14,'Casos de Teste'!J2:J53,"Passou")</f>
        <v>0</v>
      </c>
      <c r="D14" s="8" t="n">
        <f aca="false">COUNTIFS('Casos de Teste'!B2:B53,$A14,'Casos de Teste'!J2:J53,"Falhou")</f>
        <v>0</v>
      </c>
      <c r="E14" s="8" t="n">
        <f aca="false">COUNTIFS('Casos de Teste'!B2:B53,$A14,'Casos de Teste'!J2:J53,"Bloqueado")</f>
        <v>0</v>
      </c>
      <c r="F14" s="8" t="n">
        <f aca="false">COUNTIFS('Casos de Teste'!B2:B53,$A14,'Casos de Teste'!J2:J53,"Não executado")</f>
        <v>5</v>
      </c>
    </row>
    <row r="15" customFormat="false" ht="15" hidden="false" customHeight="false" outlineLevel="0" collapsed="false">
      <c r="A15" s="8" t="s">
        <v>59</v>
      </c>
      <c r="B15" s="8" t="n">
        <f aca="false">COUNTIF('Casos de Teste'!B2:B53,A15)</f>
        <v>6</v>
      </c>
      <c r="C15" s="8" t="n">
        <f aca="false">COUNTIFS('Casos de Teste'!B2:B53,$A15,'Casos de Teste'!J2:J53,"Passou")</f>
        <v>0</v>
      </c>
      <c r="D15" s="8" t="n">
        <f aca="false">COUNTIFS('Casos de Teste'!B2:B53,$A15,'Casos de Teste'!J2:J53,"Falhou")</f>
        <v>0</v>
      </c>
      <c r="E15" s="8" t="n">
        <f aca="false">COUNTIFS('Casos de Teste'!B2:B53,$A15,'Casos de Teste'!J2:J53,"Bloqueado")</f>
        <v>0</v>
      </c>
      <c r="F15" s="8" t="n">
        <f aca="false">COUNTIFS('Casos de Teste'!B2:B53,$A15,'Casos de Teste'!J2:J53,"Não executado")</f>
        <v>6</v>
      </c>
    </row>
    <row r="16" customFormat="false" ht="15" hidden="false" customHeight="false" outlineLevel="0" collapsed="false">
      <c r="A16" s="8" t="s">
        <v>86</v>
      </c>
      <c r="B16" s="8" t="n">
        <f aca="false">COUNTIF('Casos de Teste'!B2:B53,A16)</f>
        <v>3</v>
      </c>
      <c r="C16" s="8" t="n">
        <f aca="false">COUNTIFS('Casos de Teste'!B2:B53,$A16,'Casos de Teste'!J2:J53,"Passou")</f>
        <v>0</v>
      </c>
      <c r="D16" s="8" t="n">
        <f aca="false">COUNTIFS('Casos de Teste'!B2:B53,$A16,'Casos de Teste'!J2:J53,"Falhou")</f>
        <v>0</v>
      </c>
      <c r="E16" s="8" t="n">
        <f aca="false">COUNTIFS('Casos de Teste'!B2:B53,$A16,'Casos de Teste'!J2:J53,"Bloqueado")</f>
        <v>0</v>
      </c>
      <c r="F16" s="8" t="n">
        <f aca="false">COUNTIFS('Casos de Teste'!B2:B53,$A16,'Casos de Teste'!J2:J53,"Não executado")</f>
        <v>3</v>
      </c>
    </row>
    <row r="17" customFormat="false" ht="15" hidden="false" customHeight="false" outlineLevel="0" collapsed="false">
      <c r="A17" s="8" t="s">
        <v>101</v>
      </c>
      <c r="B17" s="8" t="n">
        <f aca="false">COUNTIF('Casos de Teste'!B2:B53,A17)</f>
        <v>5</v>
      </c>
      <c r="C17" s="8" t="n">
        <f aca="false">COUNTIFS('Casos de Teste'!B2:B53,$A17,'Casos de Teste'!J2:J53,"Passou")</f>
        <v>0</v>
      </c>
      <c r="D17" s="8" t="n">
        <f aca="false">COUNTIFS('Casos de Teste'!B2:B53,$A17,'Casos de Teste'!J2:J53,"Falhou")</f>
        <v>0</v>
      </c>
      <c r="E17" s="8" t="n">
        <f aca="false">COUNTIFS('Casos de Teste'!B2:B53,$A17,'Casos de Teste'!J2:J53,"Bloqueado")</f>
        <v>0</v>
      </c>
      <c r="F17" s="8" t="n">
        <f aca="false">COUNTIFS('Casos de Teste'!B2:B53,$A17,'Casos de Teste'!J2:J53,"Não executado")</f>
        <v>5</v>
      </c>
    </row>
    <row r="18" customFormat="false" ht="15" hidden="false" customHeight="false" outlineLevel="0" collapsed="false">
      <c r="A18" s="8" t="s">
        <v>125</v>
      </c>
      <c r="B18" s="8" t="n">
        <f aca="false">COUNTIF('Casos de Teste'!B2:B53,A18)</f>
        <v>4</v>
      </c>
      <c r="C18" s="8" t="n">
        <f aca="false">COUNTIFS('Casos de Teste'!B2:B53,$A18,'Casos de Teste'!J2:J53,"Passou")</f>
        <v>0</v>
      </c>
      <c r="D18" s="8" t="n">
        <f aca="false">COUNTIFS('Casos de Teste'!B2:B53,$A18,'Casos de Teste'!J2:J53,"Falhou")</f>
        <v>0</v>
      </c>
      <c r="E18" s="8" t="n">
        <f aca="false">COUNTIFS('Casos de Teste'!B2:B53,$A18,'Casos de Teste'!J2:J53,"Bloqueado")</f>
        <v>0</v>
      </c>
      <c r="F18" s="8" t="n">
        <f aca="false">COUNTIFS('Casos de Teste'!B2:B53,$A18,'Casos de Teste'!J2:J53,"Não executado")</f>
        <v>4</v>
      </c>
    </row>
    <row r="19" customFormat="false" ht="15" hidden="false" customHeight="false" outlineLevel="0" collapsed="false">
      <c r="A19" s="8" t="s">
        <v>144</v>
      </c>
      <c r="B19" s="8" t="n">
        <f aca="false">COUNTIF('Casos de Teste'!B2:B53,A19)</f>
        <v>5</v>
      </c>
      <c r="C19" s="8" t="n">
        <f aca="false">COUNTIFS('Casos de Teste'!B2:B53,$A19,'Casos de Teste'!J2:J53,"Passou")</f>
        <v>0</v>
      </c>
      <c r="D19" s="8" t="n">
        <f aca="false">COUNTIFS('Casos de Teste'!B2:B53,$A19,'Casos de Teste'!J2:J53,"Falhou")</f>
        <v>0</v>
      </c>
      <c r="E19" s="8" t="n">
        <f aca="false">COUNTIFS('Casos de Teste'!B2:B53,$A19,'Casos de Teste'!J2:J53,"Bloqueado")</f>
        <v>0</v>
      </c>
      <c r="F19" s="8" t="n">
        <f aca="false">COUNTIFS('Casos de Teste'!B2:B53,$A19,'Casos de Teste'!J2:J53,"Não executado")</f>
        <v>5</v>
      </c>
    </row>
    <row r="20" customFormat="false" ht="15" hidden="false" customHeight="false" outlineLevel="0" collapsed="false">
      <c r="A20" s="8" t="s">
        <v>167</v>
      </c>
      <c r="B20" s="8" t="n">
        <f aca="false">COUNTIF('Casos de Teste'!B2:B53,A20)</f>
        <v>3</v>
      </c>
      <c r="C20" s="8" t="n">
        <f aca="false">COUNTIFS('Casos de Teste'!B2:B53,$A20,'Casos de Teste'!J2:J53,"Passou")</f>
        <v>0</v>
      </c>
      <c r="D20" s="8" t="n">
        <f aca="false">COUNTIFS('Casos de Teste'!B2:B53,$A20,'Casos de Teste'!J2:J53,"Falhou")</f>
        <v>0</v>
      </c>
      <c r="E20" s="8" t="n">
        <f aca="false">COUNTIFS('Casos de Teste'!B2:B53,$A20,'Casos de Teste'!J2:J53,"Bloqueado")</f>
        <v>0</v>
      </c>
      <c r="F20" s="8" t="n">
        <f aca="false">COUNTIFS('Casos de Teste'!B2:B53,$A20,'Casos de Teste'!J2:J53,"Não executado")</f>
        <v>3</v>
      </c>
    </row>
    <row r="21" customFormat="false" ht="15" hidden="false" customHeight="false" outlineLevel="0" collapsed="false">
      <c r="A21" s="8" t="s">
        <v>179</v>
      </c>
      <c r="B21" s="8" t="n">
        <f aca="false">COUNTIF('Casos de Teste'!B2:B53,A21)</f>
        <v>1</v>
      </c>
      <c r="C21" s="8" t="n">
        <f aca="false">COUNTIFS('Casos de Teste'!B2:B53,$A21,'Casos de Teste'!J2:J53,"Passou")</f>
        <v>0</v>
      </c>
      <c r="D21" s="8" t="n">
        <f aca="false">COUNTIFS('Casos de Teste'!B2:B53,$A21,'Casos de Teste'!J2:J53,"Falhou")</f>
        <v>0</v>
      </c>
      <c r="E21" s="8" t="n">
        <f aca="false">COUNTIFS('Casos de Teste'!B2:B53,$A21,'Casos de Teste'!J2:J53,"Bloqueado")</f>
        <v>0</v>
      </c>
      <c r="F21" s="8" t="n">
        <f aca="false">COUNTIFS('Casos de Teste'!B2:B53,$A21,'Casos de Teste'!J2:J53,"Não executado")</f>
        <v>1</v>
      </c>
    </row>
    <row r="22" customFormat="false" ht="15" hidden="false" customHeight="false" outlineLevel="0" collapsed="false">
      <c r="A22" s="8" t="s">
        <v>184</v>
      </c>
      <c r="B22" s="8" t="n">
        <f aca="false">COUNTIF('Casos de Teste'!B2:B53,A22)</f>
        <v>9</v>
      </c>
      <c r="C22" s="8" t="n">
        <f aca="false">COUNTIFS('Casos de Teste'!B2:B53,$A22,'Casos de Teste'!J2:J53,"Passou")</f>
        <v>0</v>
      </c>
      <c r="D22" s="8" t="n">
        <f aca="false">COUNTIFS('Casos de Teste'!B2:B53,$A22,'Casos de Teste'!J2:J53,"Falhou")</f>
        <v>0</v>
      </c>
      <c r="E22" s="8" t="n">
        <f aca="false">COUNTIFS('Casos de Teste'!B2:B53,$A22,'Casos de Teste'!J2:J53,"Bloqueado")</f>
        <v>0</v>
      </c>
      <c r="F22" s="8" t="n">
        <f aca="false">COUNTIFS('Casos de Teste'!B2:B53,$A22,'Casos de Teste'!J2:J53,"Não executado")</f>
        <v>9</v>
      </c>
    </row>
    <row r="23" customFormat="false" ht="15" hidden="false" customHeight="false" outlineLevel="0" collapsed="false">
      <c r="A23" s="8" t="s">
        <v>227</v>
      </c>
      <c r="B23" s="8" t="n">
        <f aca="false">COUNTIF('Casos de Teste'!B2:B53,A23)</f>
        <v>7</v>
      </c>
      <c r="C23" s="8" t="n">
        <f aca="false">COUNTIFS('Casos de Teste'!B2:B53,$A23,'Casos de Teste'!J2:J53,"Passou")</f>
        <v>0</v>
      </c>
      <c r="D23" s="8" t="n">
        <f aca="false">COUNTIFS('Casos de Teste'!B2:B53,$A23,'Casos de Teste'!J2:J53,"Falhou")</f>
        <v>0</v>
      </c>
      <c r="E23" s="8" t="n">
        <f aca="false">COUNTIFS('Casos de Teste'!B2:B53,$A23,'Casos de Teste'!J2:J53,"Bloqueado")</f>
        <v>0</v>
      </c>
      <c r="F23" s="8" t="n">
        <f aca="false">COUNTIFS('Casos de Teste'!B2:B53,$A23,'Casos de Teste'!J2:J53,"Não executado")</f>
        <v>7</v>
      </c>
    </row>
    <row r="24" customFormat="false" ht="15" hidden="false" customHeight="false" outlineLevel="0" collapsed="false">
      <c r="A24" s="12" t="s">
        <v>267</v>
      </c>
      <c r="B24" s="12" t="n">
        <f aca="false">SUM(B13:B23)</f>
        <v>52</v>
      </c>
      <c r="C24" s="12" t="n">
        <f aca="false">SUM(C13:C23)</f>
        <v>0</v>
      </c>
      <c r="D24" s="12" t="n">
        <f aca="false">SUM(D13:D23)</f>
        <v>0</v>
      </c>
      <c r="E24" s="12" t="n">
        <f aca="false">SUM(E13:E23)</f>
        <v>0</v>
      </c>
      <c r="F24" s="12" t="n">
        <f aca="false">SUM(F13:F23)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6" t="s">
        <v>268</v>
      </c>
    </row>
    <row r="2" customFormat="false" ht="31.5" hidden="false" customHeight="true" outlineLevel="0" collapsed="false">
      <c r="A2" s="13" t="s">
        <v>269</v>
      </c>
      <c r="B2" s="14" t="s">
        <v>270</v>
      </c>
    </row>
    <row r="3" customFormat="false" ht="18" hidden="false" customHeight="true" outlineLevel="0" collapsed="false">
      <c r="A3" s="13" t="s">
        <v>9</v>
      </c>
      <c r="B3" s="14" t="s">
        <v>271</v>
      </c>
    </row>
    <row r="4" customFormat="false" ht="31.5" hidden="false" customHeight="true" outlineLevel="0" collapsed="false">
      <c r="A4" s="13" t="s">
        <v>272</v>
      </c>
      <c r="B4" s="14" t="s">
        <v>273</v>
      </c>
    </row>
    <row r="5" customFormat="false" ht="31.5" hidden="false" customHeight="true" outlineLevel="0" collapsed="false">
      <c r="A5" s="13" t="s">
        <v>274</v>
      </c>
      <c r="B5" s="14" t="s">
        <v>275</v>
      </c>
    </row>
    <row r="6" customFormat="false" ht="15" hidden="false" customHeight="false" outlineLevel="0" collapsed="false">
      <c r="A6" s="15" t="s">
        <v>276</v>
      </c>
    </row>
    <row r="7" customFormat="false" ht="18" hidden="false" customHeight="true" outlineLevel="0" collapsed="false">
      <c r="A7" s="13" t="s">
        <v>277</v>
      </c>
      <c r="B7" s="14" t="s">
        <v>278</v>
      </c>
    </row>
    <row r="8" customFormat="false" ht="31.5" hidden="false" customHeight="true" outlineLevel="0" collapsed="false">
      <c r="A8" s="13" t="s">
        <v>279</v>
      </c>
      <c r="B8" s="14" t="s">
        <v>280</v>
      </c>
    </row>
    <row r="9" customFormat="false" ht="31.5" hidden="false" customHeight="true" outlineLevel="0" collapsed="false">
      <c r="A9" s="13" t="s">
        <v>281</v>
      </c>
      <c r="B9" s="14" t="s">
        <v>282</v>
      </c>
    </row>
    <row r="10" customFormat="false" ht="18" hidden="false" customHeight="true" outlineLevel="0" collapsed="false">
      <c r="A10" s="13" t="s">
        <v>283</v>
      </c>
      <c r="B10" s="14" t="s">
        <v>284</v>
      </c>
    </row>
    <row r="11" customFormat="false" ht="18" hidden="false" customHeight="true" outlineLevel="0" collapsed="false">
      <c r="A11" s="13" t="s">
        <v>267</v>
      </c>
      <c r="B11" s="14" t="s">
        <v>285</v>
      </c>
    </row>
    <row r="12" customFormat="false" ht="31.5" hidden="false" customHeight="true" outlineLevel="0" collapsed="false">
      <c r="A12" s="13" t="s">
        <v>286</v>
      </c>
      <c r="B12" s="14" t="s">
        <v>287</v>
      </c>
    </row>
    <row r="13" customFormat="false" ht="18" hidden="false" customHeight="true" outlineLevel="0" collapsed="false">
      <c r="A13" s="13" t="s">
        <v>288</v>
      </c>
      <c r="B13" s="14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2026-10-07T02:05:25Z</dcterms:created>
  <dc:creator>openpyxl</dc:creator>
  <dc:description/>
  <dc:language>en-US</dc:language>
  <cp:lastModifiedBy/>
  <dcterms:modified xsi:type="dcterms:W3CDTF">2026-10-07T02:05:25Z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