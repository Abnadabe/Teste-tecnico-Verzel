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sos de Teste" sheetId="1" r:id="rId5"/>
    <sheet state="visible" name="Resumo" sheetId="2" r:id="rId6"/>
    <sheet state="visible" name="Legenda" sheetId="3" r:id="rId7"/>
  </sheets>
  <definedNames>
    <definedName hidden="1" localSheetId="0" name="_xlnm._FilterDatabase">'Casos de Teste'!$A$1:$K$38</definedName>
  </definedNames>
  <calcPr/>
</workbook>
</file>

<file path=xl/sharedStrings.xml><?xml version="1.0" encoding="utf-8"?>
<sst xmlns="http://schemas.openxmlformats.org/spreadsheetml/2006/main" count="430" uniqueCount="259">
  <si>
    <t xml:space="preserve">Resumo da execução manual </t>
  </si>
  <si>
    <t>ID</t>
  </si>
  <si>
    <t>Total de casos</t>
  </si>
  <si>
    <t>CA</t>
  </si>
  <si>
    <t>Tipo</t>
  </si>
  <si>
    <t>Prioridade</t>
  </si>
  <si>
    <t>Título</t>
  </si>
  <si>
    <t>Pré-condições</t>
  </si>
  <si>
    <t>Passos</t>
  </si>
  <si>
    <t>Resultado esperado</t>
  </si>
  <si>
    <t>Status</t>
  </si>
  <si>
    <t>Bug ID</t>
  </si>
  <si>
    <t>Evidência</t>
  </si>
  <si>
    <t>TM-001</t>
  </si>
  <si>
    <t>CA01</t>
  </si>
  <si>
    <t>Funcional</t>
  </si>
  <si>
    <t>Alta</t>
  </si>
  <si>
    <t>Aplicar BEMVINDO10 em compra abaixo de R$ 200,00</t>
  </si>
  <si>
    <t>Carrinho com produtos somando subtotal de R$ 100,00 (ajuste produtos/quantidades conforme os preços do ambiente; máx. 5 un. por produto).</t>
  </si>
  <si>
    <t>1. Abrir o carrinho.
2. Informar o cupom BEMVINDO10 no campo de cupom.
3. Clicar em Aplicar.</t>
  </si>
  <si>
    <t>Cupom aceito. Desconto R$ 10,00; frete R$ 19,90; total R$ 109,90.</t>
  </si>
  <si>
    <t>Passou</t>
  </si>
  <si>
    <t>https://jam.dev/c/d4ec61ae-fa37-4b99-9a93-ee28ab313353</t>
  </si>
  <si>
    <t>Legenda e instruções</t>
  </si>
  <si>
    <t>Como preencher</t>
  </si>
  <si>
    <t>Preencha apenas as colunas amarelas da aba Casos de Teste: Resultado obtido, Status, Bug ID e Evidência. A aba Resumo se atualiza sozinha.</t>
  </si>
  <si>
    <t>Não executado (padrão) · Passou · Falhou.</t>
  </si>
  <si>
    <t>Tipos</t>
  </si>
  <si>
    <t>Funcional = fluxo esperado · Negativo = entrada inválida · Limite = valor-limite · Exploratório = comportamento não especificado nos CAs (registrar o que for observado).</t>
  </si>
  <si>
    <t>Premissas</t>
  </si>
  <si>
    <t>Falhou</t>
  </si>
  <si>
    <t>Cupom válido</t>
  </si>
  <si>
    <t>BEMVINDO10 (10% sobre o subtotal dos produtos), conforme CA01.</t>
  </si>
  <si>
    <t>Cupom expirado / 2º cupom</t>
  </si>
  <si>
    <t>Os códigos não estão nos critérios de aceite. Use os cupons existentes no ambiente e anote o código usado em Resultado obtido.</t>
  </si>
  <si>
    <t>Não executado</t>
  </si>
  <si>
    <t>Subtotais</t>
  </si>
  <si>
    <t>Os preços dependem do catálogo do ambiente. Combine produtos e quantidades até atingir o subtotal pedido (máx. 5 unidades por produto).</t>
  </si>
  <si>
    <t>Arredondamento</t>
  </si>
  <si>
    <t>Assumido half-up (0,005 sobe para 0,01). Confirmar na documentação.</t>
  </si>
  <si>
    <t>Total</t>
  </si>
  <si>
    <t>TM-002</t>
  </si>
  <si>
    <t>% executado</t>
  </si>
  <si>
    <t>Assumido: subtotal − desconto + frete.</t>
  </si>
  <si>
    <t>Mensagens</t>
  </si>
  <si>
    <t>As únicas mensagens com texto definido são "Cupom inválido." e "Cupom expirado.". As demais (limite de 5 un., valor faltante) devem ser registradas como exibidas.</t>
  </si>
  <si>
    <t>Aplicar BEMVINDO10 em compra acima de R$ 200,00</t>
  </si>
  <si>
    <t>Carrinho com produtos somando subtotal de R$ 250,00 (ajuste produtos/quantidades conforme os preços do ambiente; máx. 5 un. por produto).</t>
  </si>
  <si>
    <t>1. Abrir o carrinho.
2. Aplicar o cupom BEMVINDO10.</t>
  </si>
  <si>
    <t>Desconto R$ 25,00; frete grátis; total R$ 225,00.</t>
  </si>
  <si>
    <t>https://jam.dev/c/3d1cafe8-f25a-43c7-9728-bfb8159977f7</t>
  </si>
  <si>
    <t>% de falha (sobre executados)</t>
  </si>
  <si>
    <t>TM-003</t>
  </si>
  <si>
    <t>Média</t>
  </si>
  <si>
    <t>Desconto calculado sobre o subtotal de vários produtos</t>
  </si>
  <si>
    <t>Carrinho com produtos somando subtotal de R$ 150,00 (ajuste produtos/quantidades conforme os preços do ambiente; máx. 5 un. por produto). Usar 2 produtos diferentes.</t>
  </si>
  <si>
    <t>Desconto de R$ 15,00 (10% da soma dos produtos).</t>
  </si>
  <si>
    <t>https://jam.dev/c/486fb515-4422-46af-941b-72efb2fcf964</t>
  </si>
  <si>
    <t>TM-004</t>
  </si>
  <si>
    <t>Desconto recalculado ao alterar quantidade com cupom aplicado</t>
  </si>
  <si>
    <t>Por critério de aceite</t>
  </si>
  <si>
    <t>Carrinho com produtos somando subtotal de R$ 100,00 (ajuste produtos/quantidades conforme os preços do ambiente; máx. 5 un. por produto). Cupom BEMVINDO10 já aplicado.</t>
  </si>
  <si>
    <t>1. Dobrar a quantidade dos produtos no carrinho (subtotal passa a R$ 200,00).
2. Verificar o resumo.</t>
  </si>
  <si>
    <t>Desconto atualizado para R$ 20,00; frete grátis; total R$ 180,00.</t>
  </si>
  <si>
    <t>VZ-001</t>
  </si>
  <si>
    <t>https://jam.dev/c/9354bca4-d8df-43cf-ac42-f70621e1972c</t>
  </si>
  <si>
    <t>TM-005</t>
  </si>
  <si>
    <t>CA02</t>
  </si>
  <si>
    <t>Cupom em letras minúsculas</t>
  </si>
  <si>
    <t>Carrinho com subtotal de R$ 100,00.</t>
  </si>
  <si>
    <t>1. Informar bemvindo10 (minúsculas).
2. Aplicar.</t>
  </si>
  <si>
    <t>Cupom aceito; desconto R$ 10,00.</t>
  </si>
  <si>
    <t>https://jam.dev/c/f4863901-bd34-4eb7-ac55-78d2e940be07</t>
  </si>
  <si>
    <t>TM-006</t>
  </si>
  <si>
    <t>Cupom em maiúsculas e minúsculas misturadas</t>
  </si>
  <si>
    <t>1. Informar BemVindo10 e aplicar.
2. Remover o cupom.
3. Repetir com bEmViNdO10.</t>
  </si>
  <si>
    <t>Cupom aceito nas duas tentativas; desconto R$ 10,00.</t>
  </si>
  <si>
    <t>https://jam.dev/c/327c746a-7e18-4db2-a2bb-65be1412e47b</t>
  </si>
  <si>
    <t>TM-007</t>
  </si>
  <si>
    <t>Espaços no início e no fim são ignorados</t>
  </si>
  <si>
    <t>1. Informar "  BEMVINDO10  " (com espaços antes e depois) e aplicar.
2. Remover o cupom.
3. Repetir só com espaço no início e depois só com espaço no fim.</t>
  </si>
  <si>
    <t>Cupom aceito em todas as variações; desconto R$ 10,00.</t>
  </si>
  <si>
    <t>https://jam.dev/c/576f4dd1-c6ce-4dae-97f2-51ee5522f8bc</t>
  </si>
  <si>
    <t>TM-008</t>
  </si>
  <si>
    <t>Espaços + minúsculas combinados</t>
  </si>
  <si>
    <t>1. Informar "  bemvindo10  " e aplicar.</t>
  </si>
  <si>
    <t>https://jam.dev/c/d50026a5-dc14-4fec-90f2-0e0e256f526b</t>
  </si>
  <si>
    <t>TM-009</t>
  </si>
  <si>
    <t>Exploratório</t>
  </si>
  <si>
    <t>Espaço no meio do código não é ignorado</t>
  </si>
  <si>
    <t>1. Informar "BEM VINDO10" e aplicar.</t>
  </si>
  <si>
    <t>Mensagem "Cupom inválido."; nenhum desconto aplicado.</t>
  </si>
  <si>
    <t>https://jam.dev/c/1b578217-d7c7-46e8-acd2-7d84bd352341</t>
  </si>
  <si>
    <t>CA03</t>
  </si>
  <si>
    <t>TM-010</t>
  </si>
  <si>
    <t>Negativo</t>
  </si>
  <si>
    <t>Cupom inexistente</t>
  </si>
  <si>
    <t>1. Informar CUPOMFALSO e aplicar.</t>
  </si>
  <si>
    <t>Mensagem exata "Cupom inválido."; nenhum desconto; total R$ 119,90.</t>
  </si>
  <si>
    <t>https://jam.dev/c/c8ee934a-1c9b-42f9-b3f5-b5e2ca52f254</t>
  </si>
  <si>
    <t>TM-011</t>
  </si>
  <si>
    <t>Campo de cupom vazio</t>
  </si>
  <si>
    <t>1. Deixar o campo vazio.
2. Clicar em Aplicar.</t>
  </si>
  <si>
    <t>Mensagem exata "Infome um cupom." nenhum desconto aplicado.</t>
  </si>
  <si>
    <t>https://jam.dev/c/fe06f30e-1d01-41f0-bcdd-a8cd45a14fa3</t>
  </si>
  <si>
    <t>TM-012</t>
  </si>
  <si>
    <t>Baixa</t>
  </si>
  <si>
    <t>Campo de cupom apenas com espaços</t>
  </si>
  <si>
    <t>1. Informar apenas espaços.
2. Clicar em Aplicar.</t>
  </si>
  <si>
    <t>Sem desconto; sem erro inesperado. Registrar a mensagem exibida.</t>
  </si>
  <si>
    <t>https://jam.dev/c/2c752f03-1d20-4f61-85c8-ae1e9f573132</t>
  </si>
  <si>
    <t>TM-013</t>
  </si>
  <si>
    <t>Caracteres especiais e tentativa de injeção no campo</t>
  </si>
  <si>
    <t>1. Informar &lt;script&gt;alert(1)&lt;/script&gt; e aplicar.
2. Informar ' OR '1'='1 e aplicar.
3. Informar um texto com 500+ caracteres e aplicar.</t>
  </si>
  <si>
    <t>Mensagem "Cupom inválido."; nenhum script executado; sem erro 5xx; layout preservado.</t>
  </si>
  <si>
    <t>https://jam.dev/c/6eb680b3-ee79-4411-81af-22c9c8005beb</t>
  </si>
  <si>
    <t>CA04</t>
  </si>
  <si>
    <t>CA05</t>
  </si>
  <si>
    <t>TM-014</t>
  </si>
  <si>
    <t>Códigos parecidos com o cupom válido</t>
  </si>
  <si>
    <t>1. Informar BEMVINDO e aplicar.
2. Informar BEMVINDO100 e aplicar.
3. Informar BEMVINDO1 e aplicar.</t>
  </si>
  <si>
    <t>"Cupom inválido." em todas as tentativas; nenhum desconto.</t>
  </si>
  <si>
    <t>https://jam.dev/c/802ea29c-6173-4953-b01c-fe7d72f4cf02</t>
  </si>
  <si>
    <t>TM-015</t>
  </si>
  <si>
    <t>Cupom expirado</t>
  </si>
  <si>
    <t>Carrinho com subtotal de R$ 100,00. Ter um cupom existente e fora da validade (anotar o código usado).</t>
  </si>
  <si>
    <t>1. Informar o cupom expirado e aplicar.</t>
  </si>
  <si>
    <t>Mensagem exata "Cupom expirado."; nenhum desconto; total R$ 119,90.</t>
  </si>
  <si>
    <t>https://jam.dev/c/5f3609cc-fd4f-45d1-9670-3509707a66e5</t>
  </si>
  <si>
    <t>CA06</t>
  </si>
  <si>
    <t>TM-016</t>
  </si>
  <si>
    <t>Trocar de cupom removendo o atual</t>
  </si>
  <si>
    <t>Carrinho com subtotal de R$ 100,00 e BEMVINDO10 aplicado. Ter um segundo cupom válido.</t>
  </si>
  <si>
    <t>1. Remover o cupom atual.
2. Conferir o resumo.
3. Aplicar o segundo cupom.</t>
  </si>
  <si>
    <t>Após remover: sem desconto, total R$ 119,90. Após aplicar: apenas o segundo cupom no carrinho.</t>
  </si>
  <si>
    <t>https://jam.dev/c/dd9cec6a-b1fb-4502-8692-ced395e6f592</t>
  </si>
  <si>
    <t>TM-017</t>
  </si>
  <si>
    <t>Reaplicar o mesmo cupom não duplica o desconto</t>
  </si>
  <si>
    <t>Carrinho com subtotal de R$ 100,00 e BEMVINDO10 aplicado.</t>
  </si>
  <si>
    <t>1. Aplicar BEMVINDO10 novamente.</t>
  </si>
  <si>
    <t>Desconto continua R$ 10,00 (sem duplicar).</t>
  </si>
  <si>
    <t>https://jam.dev/c/f351ea27-1d20-4250-a824-bc02c6eb934c</t>
  </si>
  <si>
    <t>CA07</t>
  </si>
  <si>
    <t>TM-018</t>
  </si>
  <si>
    <t>Remover cupom recalcula total e frete</t>
  </si>
  <si>
    <t>Carrinho com produtos somando subtotal de R$ 210,00 (ajuste produtos/quantidades conforme os preços do ambiente; máx. 5 un. por produto). BEMVINDO10 aplicado.</t>
  </si>
  <si>
    <t>1. Remover o cupom.
2. Verificar o resumo.</t>
  </si>
  <si>
    <t>Sem desconto; frete grátis; total R$ 210,00.</t>
  </si>
  <si>
    <t>https://jam.dev/c/7401d047-f93e-46a1-82e2-56016131b57d</t>
  </si>
  <si>
    <t>TM-019</t>
  </si>
  <si>
    <t>Cupom aplicado persiste ao recarregar a página</t>
  </si>
  <si>
    <t>1. Recarregar a página (F5).
2. Navegar para outra página e voltar ao carrinho.</t>
  </si>
  <si>
    <t>Comportamento não especificado: registrar. Valores devem permanecer consistentes com o estado exibido.</t>
  </si>
  <si>
    <t>https://jam.dev/c/da30f710-732c-4454-b31b-4d7a31e87ea8</t>
  </si>
  <si>
    <t>TM-020</t>
  </si>
  <si>
    <t>Limite</t>
  </si>
  <si>
    <t>Frete com subtotal R$ 199,99 (logo abaixo do limite)</t>
  </si>
  <si>
    <t>Carrinho com produtos somando subtotal de R$ 199,99 (ajuste produtos/quantidades conforme os preços do ambiente; máx. 5 un. por produto).</t>
  </si>
  <si>
    <t>1. Abrir o carrinho.
2. Verificar frete e mensagem.</t>
  </si>
  <si>
    <t>Frete R$ 19,90; mensagem informa que faltam R$ 0,01 para o frete grátis.</t>
  </si>
  <si>
    <t>CA08</t>
  </si>
  <si>
    <t>https://jam.dev/c/d9dca455-2362-41c8-ae8f-d58db358a79d</t>
  </si>
  <si>
    <t>TM-021</t>
  </si>
  <si>
    <t>Frete com subtotal R$ 200,00 (limite, inclusive)</t>
  </si>
  <si>
    <t>Carrinho com produtos somando subtotal de R$ 200,00 (ajuste produtos/quantidades conforme os preços do ambiente; máx. 5 un. por produto).</t>
  </si>
  <si>
    <t>1. Abrir o carrinho.
2. Verificar frete.</t>
  </si>
  <si>
    <t>Frete grátis; total R$ 200,00.</t>
  </si>
  <si>
    <t>VZ-002</t>
  </si>
  <si>
    <t>https://jam.dev/c/7bd44cb7-cdfe-432e-b7fd-08d7634250bb</t>
  </si>
  <si>
    <t>TM-022</t>
  </si>
  <si>
    <t>Frete com subtotal R$ 200,01 (logo acima do limite)</t>
  </si>
  <si>
    <t>Carrinho com produtos somando subtotal de R$ 200,01 (ajuste produtos/quantidades conforme os preços do ambiente; máx. 5 un. por produto).</t>
  </si>
  <si>
    <t>Frete grátis.</t>
  </si>
  <si>
    <t>CA09</t>
  </si>
  <si>
    <t>https://jam.dev/c/d7679f96-519c-4054-9e1a-c81adf9e6b51</t>
  </si>
  <si>
    <t xml:space="preserve">TM-023
</t>
  </si>
  <si>
    <t>Frete grátis com subtotal bem acima do limite</t>
  </si>
  <si>
    <t>Carrinho com produtos somando subtotal de R$ 500,00 (ajuste produtos/quantidades conforme os preços do ambiente; máx. 5 un. por produto).</t>
  </si>
  <si>
    <t>Frete grátis; total R$ 500,00.</t>
  </si>
  <si>
    <t>https://jam.dev/c/10027663-e1bd-43c9-8cd8-307c6ddedce6</t>
  </si>
  <si>
    <t>CA10</t>
  </si>
  <si>
    <t>TM-024</t>
  </si>
  <si>
    <t>Frete fixo e valor restante para frete grátis</t>
  </si>
  <si>
    <t>Carrinho com produtos somando subtotal de R$ 150,00 (ajuste produtos/quantidades conforme os preços do ambiente; máx. 5 un. por produto).</t>
  </si>
  <si>
    <t>Frete R$ 19,90; carrinho informa que faltam R$ 50,00 para o frete grátis.</t>
  </si>
  <si>
    <t>https://jam.dev/c/9809c486-0f04-487e-b0d4-b1f5c4573943</t>
  </si>
  <si>
    <t>TM-025</t>
  </si>
  <si>
    <t>Valor restante calculado corretamente</t>
  </si>
  <si>
    <t>1. Abrir o carrinho.
2. Verificar a mensagem.</t>
  </si>
  <si>
    <t>Mensagem informa que faltam R$ 100,00 para o frete grátis.</t>
  </si>
  <si>
    <t>https://jam.dev/c/d7497186-8d01-4e90-9fd0-6d0d15487c9a</t>
  </si>
  <si>
    <t>TM-026</t>
  </si>
  <si>
    <t>CA11</t>
  </si>
  <si>
    <t>Mensagem de valor restante some quando o frete é grátis</t>
  </si>
  <si>
    <t>1. Abrir o carrinho.
2. Verificar o resumo.</t>
  </si>
  <si>
    <t>Frete grátis; nenhuma mensagem de valor faltante.</t>
  </si>
  <si>
    <t>VZ-003</t>
  </si>
  <si>
    <t>https://jam.dev/c/7287b9ec-8c05-47d0-af16-e31f8c6c3203</t>
  </si>
  <si>
    <t>TM-027</t>
  </si>
  <si>
    <t>Mensagem atualiza ao alterar a quantidade</t>
  </si>
  <si>
    <t>Carrinho com 1 unidade de produto de R$ 150,00 (ou similar).</t>
  </si>
  <si>
    <t>1. Verificar a mensagem de valor restante.
2. Aumentar a quantidade para 2.
3. Reduzir novamente para 1.</t>
  </si>
  <si>
    <t>Com 2 un.: frete grátis, mensagem some. Com 1 un.: frete R$ 19,90 e mensagem volta com valor correto.</t>
  </si>
  <si>
    <t>https://jam.dev/c/69f8ff59-44fc-4f9f-b492-b84c1aa838a1</t>
  </si>
  <si>
    <t>TM-028</t>
  </si>
  <si>
    <t>Carrinho vazio (comportamento do frete)</t>
  </si>
  <si>
    <t>Carrinho vazio.</t>
  </si>
  <si>
    <t>1. Abrir o carrinho.
2. Verificar resumo, frete e mensagem.</t>
  </si>
  <si>
    <t>Não especificado: registrar. Esperado: sem frete cobrado indevidamente e sem erro de cálculo.</t>
  </si>
  <si>
    <t>https://jam.dev/c/265e9c25-3fd3-477d-a811-288884de8646</t>
  </si>
  <si>
    <t>TM-029</t>
  </si>
  <si>
    <t>Frete grátis usa subtotal antes do desconto (R$ 205,00)</t>
  </si>
  <si>
    <t>Carrinho com produtos somando subtotal de R$ 205,00 (ajuste produtos/quantidades conforme os preços do ambiente; máx. 5 un. por produto).</t>
  </si>
  <si>
    <t>1. Aplicar BEMVINDO10.
2. Verificar o resumo.</t>
  </si>
  <si>
    <t>Desconto R$ 20,50; frete grátis; total R$ 184,50 (mesmo com subtotal pós-desconto abaixo de R$ 200,00).</t>
  </si>
  <si>
    <t>https://jam.dev/c/f2136b0f-7c9a-4c94-8cdc-30b7ffe25f06</t>
  </si>
  <si>
    <t>TM-030</t>
  </si>
  <si>
    <t>Subtotal exatamente R$ 200,00 com cupom</t>
  </si>
  <si>
    <t>Desconto R$ 20,00; frete grátis; total R$ 180,00.</t>
  </si>
  <si>
    <t>VZ-004</t>
  </si>
  <si>
    <t>https://jam.dev/c/c36866cb-9568-4878-8877-497ab492d635</t>
  </si>
  <si>
    <t>TM-031</t>
  </si>
  <si>
    <t>Subtotal R$ 199,99 com cupom (frete não fica grátis)</t>
  </si>
  <si>
    <t>Desconto R$ 20,00; frete R$ 19,90; total R$ 199,89.</t>
  </si>
  <si>
    <t>https://jam.dev/c/8719b32e-b88b-4adc-9560-fec07014895b</t>
  </si>
  <si>
    <t>TM-032</t>
  </si>
  <si>
    <t>Desconto do cupom não incide sobre o frete</t>
  </si>
  <si>
    <t>1. Aplicar BEMVINDO10.
2. Conferir o valor do frete antes e depois do cupom.</t>
  </si>
  <si>
    <t>Frete permanece R$ 19,90 (sem desconto); desconto R$ 10,00 só sobre produtos; total R$ 109,90.</t>
  </si>
  <si>
    <t>https://jam.dev/c/e27d8889-928a-46ad-911d-58d1514c11cd</t>
  </si>
  <si>
    <t>TM-033</t>
  </si>
  <si>
    <t>Adicionar 5 unidades do mesmo produto (UI)</t>
  </si>
  <si>
    <t>1. Abrir a página de um produto.
2. Definir quantidade 5.
3. Adicionar ao carrinho.</t>
  </si>
  <si>
    <t>Carrinho contém 5 unidades do produto.</t>
  </si>
  <si>
    <t>https://jam.dev/c/1f4bfef7-7ec8-4258-899f-02959e6ca74e</t>
  </si>
  <si>
    <t>TM-034</t>
  </si>
  <si>
    <t>Bloquear a 6ª unidade pela página do produto (UI)</t>
  </si>
  <si>
    <t>Carrinho com 5 unidades de um produto.</t>
  </si>
  <si>
    <t>1. Voltar à página do mesmo produto.
2. Tentar adicionar mais 1 unidade.</t>
  </si>
  <si>
    <t>Adição bloqueada com mensagem sobre o limite de 5 un. por produto; carrinho continua com 5.</t>
  </si>
  <si>
    <t>https://jam.dev/c/084a5937-b5b2-4667-ba39-8b33d9c47848</t>
  </si>
  <si>
    <t>TM-035</t>
  </si>
  <si>
    <t>Alterar quantidade no carrinho para 6 (UI)</t>
  </si>
  <si>
    <t>Carrinho com 1 unidade de um produto.</t>
  </si>
  <si>
    <t>1. No carrinho, alterar a quantidade para 6 (botão +, campo numérico ou ambos).</t>
  </si>
  <si>
    <t>Alteração bloqueada com mensagem sobre o limite; quantidade permanece válida (máx. 5).</t>
  </si>
  <si>
    <t>https://jam.dev/c/ae1d0b90-4b0e-4c0a-b990-0a3b32c5d326</t>
  </si>
  <si>
    <t>TM-036</t>
  </si>
  <si>
    <t>Limite é por produto, não por pedido</t>
  </si>
  <si>
    <t>Carrinho com 5 unidades do produto A.</t>
  </si>
  <si>
    <t>1. Adicionar 5 unidades do produto B.</t>
  </si>
  <si>
    <t>Carrinho aceita 5 un. de A e 5 un. de B.</t>
  </si>
  <si>
    <t>https://jam.dev/c/5a12b0ed-b539-4160-862d-954156c3c457</t>
  </si>
  <si>
    <t>TM-037</t>
  </si>
  <si>
    <t>Arredondamento: subtotal R$ 99,99</t>
  </si>
  <si>
    <t>Carrinho com produtos somando subtotal de R$ 99,99 (ajuste produtos/quantidades conforme os preços do ambiente; máx. 5 un. por produto).</t>
  </si>
  <si>
    <t>1. Aplicar BEMVINDO10.
2. Conferir desconto e total.</t>
  </si>
  <si>
    <t>Desconto R$ 10,00 (9,999 arredondado); frete R$ 19,90; total R$ 109,89.</t>
  </si>
  <si>
    <t>https://jam.dev/c/909f37b9-57ee-4071-ba8a-9d07153fe054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</si>
</sst>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7">
    <font>
      <sz val="11.0"/>
      <color theme="1"/>
      <name val="Calibri"/>
      <scheme val="minor"/>
    </font>
    <font>
      <b/>
      <sz val="12.0"/>
      <color theme="1"/>
      <name val="Arial"/>
    </font>
    <font>
      <b/>
      <sz val="10.0"/>
      <color rgb="FFFFFFFF"/>
      <name val="Arial"/>
    </font>
    <font>
      <b/>
      <sz val="10.0"/>
      <color theme="1"/>
      <name val="Arial"/>
    </font>
    <font>
      <sz val="10.0"/>
      <color theme="1"/>
      <name val="Arial"/>
    </font>
    <font>
      <b/>
      <sz val="11.0"/>
      <color theme="1"/>
      <name val="Arial"/>
    </font>
    <font>
      <u/>
      <sz val="10.0"/>
      <color rgb="FF0000F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1" fillId="2" fontId="2" numFmtId="0" xfId="0" applyAlignment="1" applyBorder="1" applyFill="1" applyFont="1">
      <alignment horizontal="center" shrinkToFit="0" vertical="center" wrapText="1"/>
    </xf>
    <xf borderId="1" fillId="0" fontId="3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horizontal="center" shrinkToFit="0" vertical="top" wrapText="1"/>
    </xf>
    <xf borderId="1" fillId="0" fontId="4" numFmtId="0" xfId="0" applyAlignment="1" applyBorder="1" applyFont="1">
      <alignment shrinkToFit="0" vertical="top" wrapText="1"/>
    </xf>
    <xf borderId="1" fillId="3" fontId="4" numFmtId="0" xfId="0" applyAlignment="1" applyBorder="1" applyFill="1" applyFont="1">
      <alignment horizontal="center" readingOrder="0" shrinkToFit="0" vertical="center" wrapText="1"/>
    </xf>
    <xf borderId="1" fillId="3" fontId="4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top" wrapText="1"/>
    </xf>
    <xf borderId="0" fillId="0" fontId="4" numFmtId="0" xfId="0" applyAlignment="1" applyFont="1">
      <alignment shrinkToFit="0" vertical="top" wrapText="1"/>
    </xf>
    <xf borderId="0" fillId="0" fontId="4" numFmtId="0" xfId="0" applyAlignment="1" applyFont="1">
      <alignment readingOrder="0" shrinkToFit="0" vertical="top" wrapText="1"/>
    </xf>
    <xf borderId="0" fillId="0" fontId="5" numFmtId="0" xfId="0" applyAlignment="1" applyFont="1">
      <alignment shrinkToFit="0" vertical="bottom" wrapText="0"/>
    </xf>
    <xf borderId="1" fillId="3" fontId="6" numFmtId="0" xfId="0" applyAlignment="1" applyBorder="1" applyFill="1" applyFont="1">
      <alignment horizontal="center" readingOrder="0" shrinkToFit="0" vertical="center" wrapText="1"/>
    </xf>
    <xf borderId="1" fillId="0" fontId="4" numFmtId="164" xfId="0" applyAlignment="1" applyBorder="1" applyFont="1" applyNumberForma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bottom" wrapText="0"/>
    </xf>
    <xf borderId="1" fillId="0" fontId="4" numFmtId="0" xfId="0" applyAlignment="1" applyBorder="1" applyFont="1">
      <alignment readingOrder="0" shrinkToFit="0" vertical="top" wrapText="1"/>
    </xf>
    <xf borderId="1" fillId="0" fontId="4" numFmtId="0" xfId="0" applyAlignment="1" applyBorder="1" applyFont="1">
      <alignment horizontal="center" readingOrder="0" shrinkToFit="0" vertical="top" wrapText="1"/>
    </xf>
    <xf borderId="1" fillId="0" fontId="3" numFmtId="0" xfId="0" applyAlignment="1" applyBorder="1" applyFont="1">
      <alignment horizontal="center"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jam.dev/c/d9dca455-2362-41c8-ae8f-d58db358a79d" TargetMode="External"/><Relationship Id="rId22" Type="http://schemas.openxmlformats.org/officeDocument/2006/relationships/hyperlink" Target="https://jam.dev/c/d7679f96-519c-4054-9e1a-c81adf9e6b51" TargetMode="External"/><Relationship Id="rId21" Type="http://schemas.openxmlformats.org/officeDocument/2006/relationships/hyperlink" Target="https://jam.dev/c/7bd44cb7-cdfe-432e-b7fd-08d7634250bb" TargetMode="External"/><Relationship Id="rId24" Type="http://schemas.openxmlformats.org/officeDocument/2006/relationships/hyperlink" Target="https://jam.dev/c/9809c486-0f04-487e-b0d4-b1f5c4573943" TargetMode="External"/><Relationship Id="rId23" Type="http://schemas.openxmlformats.org/officeDocument/2006/relationships/hyperlink" Target="https://jam.dev/c/10027663-e1bd-43c9-8cd8-307c6ddedce6" TargetMode="External"/><Relationship Id="rId1" Type="http://schemas.openxmlformats.org/officeDocument/2006/relationships/hyperlink" Target="https://jam.dev/c/d4ec61ae-fa37-4b99-9a93-ee28ab313353" TargetMode="External"/><Relationship Id="rId2" Type="http://schemas.openxmlformats.org/officeDocument/2006/relationships/hyperlink" Target="https://jam.dev/c/3d1cafe8-f25a-43c7-9728-bfb8159977f7" TargetMode="External"/><Relationship Id="rId3" Type="http://schemas.openxmlformats.org/officeDocument/2006/relationships/hyperlink" Target="https://jam.dev/c/486fb515-4422-46af-941b-72efb2fcf964" TargetMode="External"/><Relationship Id="rId4" Type="http://schemas.openxmlformats.org/officeDocument/2006/relationships/hyperlink" Target="https://jam.dev/c/9354bca4-d8df-43cf-ac42-f70621e1972c" TargetMode="External"/><Relationship Id="rId9" Type="http://schemas.openxmlformats.org/officeDocument/2006/relationships/hyperlink" Target="https://jam.dev/c/1b578217-d7c7-46e8-acd2-7d84bd352341" TargetMode="External"/><Relationship Id="rId26" Type="http://schemas.openxmlformats.org/officeDocument/2006/relationships/hyperlink" Target="https://jam.dev/c/7287b9ec-8c05-47d0-af16-e31f8c6c3203" TargetMode="External"/><Relationship Id="rId25" Type="http://schemas.openxmlformats.org/officeDocument/2006/relationships/hyperlink" Target="https://jam.dev/c/d7497186-8d01-4e90-9fd0-6d0d15487c9a" TargetMode="External"/><Relationship Id="rId28" Type="http://schemas.openxmlformats.org/officeDocument/2006/relationships/hyperlink" Target="https://jam.dev/c/265e9c25-3fd3-477d-a811-288884de8646" TargetMode="External"/><Relationship Id="rId27" Type="http://schemas.openxmlformats.org/officeDocument/2006/relationships/hyperlink" Target="https://jam.dev/c/69f8ff59-44fc-4f9f-b492-b84c1aa838a1" TargetMode="External"/><Relationship Id="rId5" Type="http://schemas.openxmlformats.org/officeDocument/2006/relationships/hyperlink" Target="https://jam.dev/c/f4863901-bd34-4eb7-ac55-78d2e940be07" TargetMode="External"/><Relationship Id="rId6" Type="http://schemas.openxmlformats.org/officeDocument/2006/relationships/hyperlink" Target="https://jam.dev/c/327c746a-7e18-4db2-a2bb-65be1412e47b" TargetMode="External"/><Relationship Id="rId29" Type="http://schemas.openxmlformats.org/officeDocument/2006/relationships/hyperlink" Target="https://jam.dev/c/f2136b0f-7c9a-4c94-8cdc-30b7ffe25f06" TargetMode="External"/><Relationship Id="rId7" Type="http://schemas.openxmlformats.org/officeDocument/2006/relationships/hyperlink" Target="https://jam.dev/c/576f4dd1-c6ce-4dae-97f2-51ee5522f8bc" TargetMode="External"/><Relationship Id="rId8" Type="http://schemas.openxmlformats.org/officeDocument/2006/relationships/hyperlink" Target="https://jam.dev/c/d50026a5-dc14-4fec-90f2-0e0e256f526b" TargetMode="External"/><Relationship Id="rId31" Type="http://schemas.openxmlformats.org/officeDocument/2006/relationships/hyperlink" Target="https://jam.dev/c/8719b32e-b88b-4adc-9560-fec07014895b" TargetMode="External"/><Relationship Id="rId30" Type="http://schemas.openxmlformats.org/officeDocument/2006/relationships/hyperlink" Target="https://jam.dev/c/c36866cb-9568-4878-8877-497ab492d635" TargetMode="External"/><Relationship Id="rId11" Type="http://schemas.openxmlformats.org/officeDocument/2006/relationships/hyperlink" Target="https://jam.dev/c/fe06f30e-1d01-41f0-bcdd-a8cd45a14fa3" TargetMode="External"/><Relationship Id="rId33" Type="http://schemas.openxmlformats.org/officeDocument/2006/relationships/hyperlink" Target="https://jam.dev/c/1f4bfef7-7ec8-4258-899f-02959e6ca74e" TargetMode="External"/><Relationship Id="rId10" Type="http://schemas.openxmlformats.org/officeDocument/2006/relationships/hyperlink" Target="https://jam.dev/c/c8ee934a-1c9b-42f9-b3f5-b5e2ca52f254" TargetMode="External"/><Relationship Id="rId32" Type="http://schemas.openxmlformats.org/officeDocument/2006/relationships/hyperlink" Target="https://jam.dev/c/e27d8889-928a-46ad-911d-58d1514c11cd" TargetMode="External"/><Relationship Id="rId13" Type="http://schemas.openxmlformats.org/officeDocument/2006/relationships/hyperlink" Target="https://jam.dev/c/6eb680b3-ee79-4411-81af-22c9c8005beb" TargetMode="External"/><Relationship Id="rId35" Type="http://schemas.openxmlformats.org/officeDocument/2006/relationships/hyperlink" Target="https://jam.dev/c/ae1d0b90-4b0e-4c0a-b990-0a3b32c5d326" TargetMode="External"/><Relationship Id="rId12" Type="http://schemas.openxmlformats.org/officeDocument/2006/relationships/hyperlink" Target="https://jam.dev/c/2c752f03-1d20-4f61-85c8-ae1e9f573132" TargetMode="External"/><Relationship Id="rId34" Type="http://schemas.openxmlformats.org/officeDocument/2006/relationships/hyperlink" Target="https://jam.dev/c/084a5937-b5b2-4667-ba39-8b33d9c47848" TargetMode="External"/><Relationship Id="rId15" Type="http://schemas.openxmlformats.org/officeDocument/2006/relationships/hyperlink" Target="https://jam.dev/c/5f3609cc-fd4f-45d1-9670-3509707a66e5" TargetMode="External"/><Relationship Id="rId37" Type="http://schemas.openxmlformats.org/officeDocument/2006/relationships/hyperlink" Target="https://jam.dev/c/909f37b9-57ee-4071-ba8a-9d07153fe054" TargetMode="External"/><Relationship Id="rId14" Type="http://schemas.openxmlformats.org/officeDocument/2006/relationships/hyperlink" Target="https://jam.dev/c/802ea29c-6173-4953-b01c-fe7d72f4cf02" TargetMode="External"/><Relationship Id="rId36" Type="http://schemas.openxmlformats.org/officeDocument/2006/relationships/hyperlink" Target="https://jam.dev/c/5a12b0ed-b539-4160-862d-954156c3c457" TargetMode="External"/><Relationship Id="rId17" Type="http://schemas.openxmlformats.org/officeDocument/2006/relationships/hyperlink" Target="https://jam.dev/c/f351ea27-1d20-4250-a824-bc02c6eb934c" TargetMode="External"/><Relationship Id="rId16" Type="http://schemas.openxmlformats.org/officeDocument/2006/relationships/hyperlink" Target="https://jam.dev/c/dd9cec6a-b1fb-4502-8692-ced395e6f592" TargetMode="External"/><Relationship Id="rId38" Type="http://schemas.openxmlformats.org/officeDocument/2006/relationships/drawing" Target="../drawings/drawing1.xml"/><Relationship Id="rId19" Type="http://schemas.openxmlformats.org/officeDocument/2006/relationships/hyperlink" Target="https://jam.dev/c/da30f710-732c-4454-b31b-4d7a31e87ea8" TargetMode="External"/><Relationship Id="rId18" Type="http://schemas.openxmlformats.org/officeDocument/2006/relationships/hyperlink" Target="https://jam.dev/c/7401d047-f93e-46a1-82e2-56016131b57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4.43" defaultRowHeight="15.0"/>
  <cols>
    <col customWidth="1" min="1" max="1" width="9.0"/>
    <col customWidth="1" min="2" max="2" width="7.0"/>
    <col customWidth="1" min="3" max="3" width="13.0"/>
    <col customWidth="1" min="4" max="4" width="11.0"/>
    <col customWidth="1" min="5" max="6" width="38.0"/>
    <col customWidth="1" min="7" max="7" width="48.0"/>
    <col customWidth="1" min="8" max="8" width="44.0"/>
    <col customWidth="1" min="9" max="9" width="15.0"/>
    <col customWidth="1" min="10" max="10" width="10.0"/>
    <col customWidth="1" min="11" max="11" width="53.43"/>
    <col customWidth="1" min="12" max="25" width="8.71"/>
  </cols>
  <sheetData>
    <row r="1" ht="24.0" customHeight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</row>
    <row r="2" ht="57.75" customHeight="1">
      <c r="A2" s="4" t="s">
        <v>13</v>
      </c>
      <c r="B2" s="4" t="s">
        <v>14</v>
      </c>
      <c r="C2" s="4" t="s">
        <v>15</v>
      </c>
      <c r="D2" s="4" t="s">
        <v>16</v>
      </c>
      <c r="E2" s="5" t="s">
        <v>17</v>
      </c>
      <c r="F2" s="5" t="s">
        <v>18</v>
      </c>
      <c r="G2" s="5" t="s">
        <v>19</v>
      </c>
      <c r="H2" s="5" t="s">
        <v>20</v>
      </c>
      <c r="I2" s="6" t="s">
        <v>21</v>
      </c>
      <c r="J2" s="7"/>
      <c r="K2" s="14" t="s">
        <v>22</v>
      </c>
    </row>
    <row r="3" ht="57.75" customHeight="1">
      <c r="A3" s="4" t="s">
        <v>41</v>
      </c>
      <c r="B3" s="4" t="s">
        <v>14</v>
      </c>
      <c r="C3" s="4" t="s">
        <v>15</v>
      </c>
      <c r="D3" s="4" t="s">
        <v>16</v>
      </c>
      <c r="E3" s="5" t="s">
        <v>46</v>
      </c>
      <c r="F3" s="5" t="s">
        <v>47</v>
      </c>
      <c r="G3" s="5" t="s">
        <v>48</v>
      </c>
      <c r="H3" s="5" t="s">
        <v>49</v>
      </c>
      <c r="I3" s="6" t="s">
        <v>21</v>
      </c>
      <c r="J3" s="7"/>
      <c r="K3" s="14" t="s">
        <v>50</v>
      </c>
    </row>
    <row r="4" ht="70.5" customHeight="1">
      <c r="A4" s="4" t="s">
        <v>52</v>
      </c>
      <c r="B4" s="4" t="s">
        <v>14</v>
      </c>
      <c r="C4" s="4" t="s">
        <v>15</v>
      </c>
      <c r="D4" s="4" t="s">
        <v>53</v>
      </c>
      <c r="E4" s="5" t="s">
        <v>54</v>
      </c>
      <c r="F4" s="5" t="s">
        <v>55</v>
      </c>
      <c r="G4" s="5" t="s">
        <v>48</v>
      </c>
      <c r="H4" s="5" t="s">
        <v>56</v>
      </c>
      <c r="I4" s="6" t="s">
        <v>21</v>
      </c>
      <c r="J4" s="7"/>
      <c r="K4" s="14" t="s">
        <v>57</v>
      </c>
    </row>
    <row r="5" ht="70.5" customHeight="1">
      <c r="A5" s="4" t="s">
        <v>58</v>
      </c>
      <c r="B5" s="4" t="s">
        <v>14</v>
      </c>
      <c r="C5" s="4" t="s">
        <v>15</v>
      </c>
      <c r="D5" s="4" t="s">
        <v>53</v>
      </c>
      <c r="E5" s="5" t="s">
        <v>59</v>
      </c>
      <c r="F5" s="5" t="s">
        <v>61</v>
      </c>
      <c r="G5" s="5" t="s">
        <v>62</v>
      </c>
      <c r="H5" s="5" t="s">
        <v>63</v>
      </c>
      <c r="I5" s="6" t="s">
        <v>30</v>
      </c>
      <c r="J5" s="6" t="s">
        <v>64</v>
      </c>
      <c r="K5" s="14" t="s">
        <v>65</v>
      </c>
    </row>
    <row r="6" ht="31.5" customHeight="1">
      <c r="A6" s="4" t="s">
        <v>66</v>
      </c>
      <c r="B6" s="4" t="s">
        <v>67</v>
      </c>
      <c r="C6" s="4" t="s">
        <v>15</v>
      </c>
      <c r="D6" s="4" t="s">
        <v>16</v>
      </c>
      <c r="E6" s="5" t="s">
        <v>68</v>
      </c>
      <c r="F6" s="5" t="s">
        <v>69</v>
      </c>
      <c r="G6" s="5" t="s">
        <v>70</v>
      </c>
      <c r="H6" s="5" t="s">
        <v>71</v>
      </c>
      <c r="I6" s="6" t="s">
        <v>21</v>
      </c>
      <c r="J6" s="7"/>
      <c r="K6" s="14" t="s">
        <v>72</v>
      </c>
    </row>
    <row r="7" ht="45.0" customHeight="1">
      <c r="A7" s="4" t="s">
        <v>73</v>
      </c>
      <c r="B7" s="4" t="s">
        <v>67</v>
      </c>
      <c r="C7" s="4" t="s">
        <v>15</v>
      </c>
      <c r="D7" s="4" t="s">
        <v>53</v>
      </c>
      <c r="E7" s="5" t="s">
        <v>74</v>
      </c>
      <c r="F7" s="5" t="s">
        <v>69</v>
      </c>
      <c r="G7" s="5" t="s">
        <v>75</v>
      </c>
      <c r="H7" s="5" t="s">
        <v>76</v>
      </c>
      <c r="I7" s="6" t="s">
        <v>21</v>
      </c>
      <c r="J7" s="7"/>
      <c r="K7" s="14" t="s">
        <v>77</v>
      </c>
    </row>
    <row r="8" ht="70.5" customHeight="1">
      <c r="A8" s="4" t="s">
        <v>78</v>
      </c>
      <c r="B8" s="4" t="s">
        <v>67</v>
      </c>
      <c r="C8" s="4" t="s">
        <v>15</v>
      </c>
      <c r="D8" s="4" t="s">
        <v>16</v>
      </c>
      <c r="E8" s="5" t="s">
        <v>79</v>
      </c>
      <c r="F8" s="5" t="s">
        <v>69</v>
      </c>
      <c r="G8" s="5" t="s">
        <v>80</v>
      </c>
      <c r="H8" s="5" t="s">
        <v>81</v>
      </c>
      <c r="I8" s="6" t="s">
        <v>21</v>
      </c>
      <c r="J8" s="7"/>
      <c r="K8" s="14" t="s">
        <v>82</v>
      </c>
    </row>
    <row r="9" ht="30.0" customHeight="1">
      <c r="A9" s="4" t="s">
        <v>83</v>
      </c>
      <c r="B9" s="4" t="s">
        <v>67</v>
      </c>
      <c r="C9" s="4" t="s">
        <v>15</v>
      </c>
      <c r="D9" s="4" t="s">
        <v>53</v>
      </c>
      <c r="E9" s="5" t="s">
        <v>84</v>
      </c>
      <c r="F9" s="5" t="s">
        <v>69</v>
      </c>
      <c r="G9" s="5" t="s">
        <v>85</v>
      </c>
      <c r="H9" s="5" t="s">
        <v>71</v>
      </c>
      <c r="I9" s="6" t="s">
        <v>21</v>
      </c>
      <c r="J9" s="7"/>
      <c r="K9" s="14" t="s">
        <v>86</v>
      </c>
    </row>
    <row r="10" ht="31.5" customHeight="1">
      <c r="A10" s="4" t="s">
        <v>87</v>
      </c>
      <c r="B10" s="4" t="s">
        <v>67</v>
      </c>
      <c r="C10" s="4" t="s">
        <v>88</v>
      </c>
      <c r="D10" s="4" t="s">
        <v>53</v>
      </c>
      <c r="E10" s="5" t="s">
        <v>89</v>
      </c>
      <c r="F10" s="5" t="s">
        <v>69</v>
      </c>
      <c r="G10" s="5" t="s">
        <v>90</v>
      </c>
      <c r="H10" s="5" t="s">
        <v>91</v>
      </c>
      <c r="I10" s="6" t="s">
        <v>21</v>
      </c>
      <c r="J10" s="7"/>
      <c r="K10" s="14" t="s">
        <v>92</v>
      </c>
    </row>
    <row r="11" ht="31.5" customHeight="1">
      <c r="A11" s="4" t="s">
        <v>94</v>
      </c>
      <c r="B11" s="4" t="s">
        <v>93</v>
      </c>
      <c r="C11" s="4" t="s">
        <v>95</v>
      </c>
      <c r="D11" s="4" t="s">
        <v>16</v>
      </c>
      <c r="E11" s="5" t="s">
        <v>96</v>
      </c>
      <c r="F11" s="5" t="s">
        <v>69</v>
      </c>
      <c r="G11" s="5" t="s">
        <v>97</v>
      </c>
      <c r="H11" s="5" t="s">
        <v>98</v>
      </c>
      <c r="I11" s="6" t="s">
        <v>21</v>
      </c>
      <c r="J11" s="7"/>
      <c r="K11" s="14" t="s">
        <v>99</v>
      </c>
    </row>
    <row r="12" ht="45.0" customHeight="1">
      <c r="A12" s="4" t="s">
        <v>100</v>
      </c>
      <c r="B12" s="4" t="s">
        <v>93</v>
      </c>
      <c r="C12" s="4" t="s">
        <v>88</v>
      </c>
      <c r="D12" s="4" t="s">
        <v>53</v>
      </c>
      <c r="E12" s="5" t="s">
        <v>101</v>
      </c>
      <c r="F12" s="5" t="s">
        <v>69</v>
      </c>
      <c r="G12" s="5" t="s">
        <v>102</v>
      </c>
      <c r="H12" s="18" t="s">
        <v>103</v>
      </c>
      <c r="I12" s="6" t="s">
        <v>21</v>
      </c>
      <c r="J12" s="7"/>
      <c r="K12" s="14" t="s">
        <v>104</v>
      </c>
    </row>
    <row r="13" ht="31.5" customHeight="1">
      <c r="A13" s="4" t="s">
        <v>105</v>
      </c>
      <c r="B13" s="4" t="s">
        <v>93</v>
      </c>
      <c r="C13" s="4" t="s">
        <v>88</v>
      </c>
      <c r="D13" s="4" t="s">
        <v>106</v>
      </c>
      <c r="E13" s="5" t="s">
        <v>107</v>
      </c>
      <c r="F13" s="5" t="s">
        <v>69</v>
      </c>
      <c r="G13" s="5" t="s">
        <v>108</v>
      </c>
      <c r="H13" s="5" t="s">
        <v>109</v>
      </c>
      <c r="I13" s="6" t="s">
        <v>21</v>
      </c>
      <c r="J13" s="7"/>
      <c r="K13" s="14" t="s">
        <v>110</v>
      </c>
    </row>
    <row r="14" ht="57.75" customHeight="1">
      <c r="A14" s="4" t="s">
        <v>111</v>
      </c>
      <c r="B14" s="4" t="s">
        <v>93</v>
      </c>
      <c r="C14" s="4" t="s">
        <v>88</v>
      </c>
      <c r="D14" s="4" t="s">
        <v>53</v>
      </c>
      <c r="E14" s="5" t="s">
        <v>112</v>
      </c>
      <c r="F14" s="5" t="s">
        <v>69</v>
      </c>
      <c r="G14" s="5" t="s">
        <v>113</v>
      </c>
      <c r="H14" s="5" t="s">
        <v>114</v>
      </c>
      <c r="I14" s="6" t="s">
        <v>21</v>
      </c>
      <c r="J14" s="7"/>
      <c r="K14" s="14" t="s">
        <v>115</v>
      </c>
    </row>
    <row r="15" ht="45.0" customHeight="1">
      <c r="A15" s="4" t="s">
        <v>118</v>
      </c>
      <c r="B15" s="4" t="s">
        <v>93</v>
      </c>
      <c r="C15" s="4" t="s">
        <v>95</v>
      </c>
      <c r="D15" s="4" t="s">
        <v>53</v>
      </c>
      <c r="E15" s="5" t="s">
        <v>119</v>
      </c>
      <c r="F15" s="5" t="s">
        <v>69</v>
      </c>
      <c r="G15" s="5" t="s">
        <v>120</v>
      </c>
      <c r="H15" s="5" t="s">
        <v>121</v>
      </c>
      <c r="I15" s="6" t="s">
        <v>21</v>
      </c>
      <c r="J15" s="7"/>
      <c r="K15" s="14" t="s">
        <v>122</v>
      </c>
    </row>
    <row r="16" ht="45.0" customHeight="1">
      <c r="A16" s="19" t="s">
        <v>123</v>
      </c>
      <c r="B16" s="4" t="s">
        <v>116</v>
      </c>
      <c r="C16" s="4" t="s">
        <v>95</v>
      </c>
      <c r="D16" s="4" t="s">
        <v>16</v>
      </c>
      <c r="E16" s="5" t="s">
        <v>124</v>
      </c>
      <c r="F16" s="5" t="s">
        <v>125</v>
      </c>
      <c r="G16" s="5" t="s">
        <v>126</v>
      </c>
      <c r="H16" s="5" t="s">
        <v>127</v>
      </c>
      <c r="I16" s="6" t="s">
        <v>21</v>
      </c>
      <c r="J16" s="7"/>
      <c r="K16" s="14" t="s">
        <v>128</v>
      </c>
    </row>
    <row r="17" ht="45.0" customHeight="1">
      <c r="A17" s="19" t="s">
        <v>130</v>
      </c>
      <c r="B17" s="4" t="s">
        <v>117</v>
      </c>
      <c r="C17" s="4" t="s">
        <v>15</v>
      </c>
      <c r="D17" s="4" t="s">
        <v>16</v>
      </c>
      <c r="E17" s="5" t="s">
        <v>131</v>
      </c>
      <c r="F17" s="5" t="s">
        <v>132</v>
      </c>
      <c r="G17" s="5" t="s">
        <v>133</v>
      </c>
      <c r="H17" s="5" t="s">
        <v>134</v>
      </c>
      <c r="I17" s="6" t="s">
        <v>21</v>
      </c>
      <c r="J17" s="7"/>
      <c r="K17" s="14" t="s">
        <v>135</v>
      </c>
    </row>
    <row r="18" ht="31.5" customHeight="1">
      <c r="A18" s="19" t="s">
        <v>136</v>
      </c>
      <c r="B18" s="4" t="s">
        <v>117</v>
      </c>
      <c r="C18" s="4" t="s">
        <v>15</v>
      </c>
      <c r="D18" s="4" t="s">
        <v>53</v>
      </c>
      <c r="E18" s="5" t="s">
        <v>137</v>
      </c>
      <c r="F18" s="5" t="s">
        <v>138</v>
      </c>
      <c r="G18" s="5" t="s">
        <v>139</v>
      </c>
      <c r="H18" s="5" t="s">
        <v>140</v>
      </c>
      <c r="I18" s="6" t="s">
        <v>21</v>
      </c>
      <c r="J18" s="7"/>
      <c r="K18" s="14" t="s">
        <v>141</v>
      </c>
    </row>
    <row r="19" ht="57.75" customHeight="1">
      <c r="A19" s="19" t="s">
        <v>143</v>
      </c>
      <c r="B19" s="4" t="s">
        <v>117</v>
      </c>
      <c r="C19" s="4" t="s">
        <v>15</v>
      </c>
      <c r="D19" s="4" t="s">
        <v>53</v>
      </c>
      <c r="E19" s="5" t="s">
        <v>144</v>
      </c>
      <c r="F19" s="5" t="s">
        <v>145</v>
      </c>
      <c r="G19" s="5" t="s">
        <v>146</v>
      </c>
      <c r="H19" s="5" t="s">
        <v>147</v>
      </c>
      <c r="I19" s="6" t="s">
        <v>21</v>
      </c>
      <c r="J19" s="7"/>
      <c r="K19" s="14" t="s">
        <v>148</v>
      </c>
    </row>
    <row r="20" ht="45.0" customHeight="1">
      <c r="A20" s="19" t="s">
        <v>149</v>
      </c>
      <c r="B20" s="4" t="s">
        <v>117</v>
      </c>
      <c r="C20" s="4" t="s">
        <v>88</v>
      </c>
      <c r="D20" s="4" t="s">
        <v>53</v>
      </c>
      <c r="E20" s="5" t="s">
        <v>150</v>
      </c>
      <c r="F20" s="5" t="s">
        <v>138</v>
      </c>
      <c r="G20" s="5" t="s">
        <v>151</v>
      </c>
      <c r="H20" s="5" t="s">
        <v>152</v>
      </c>
      <c r="I20" s="6" t="s">
        <v>21</v>
      </c>
      <c r="J20" s="7"/>
      <c r="K20" s="14" t="s">
        <v>153</v>
      </c>
    </row>
    <row r="21" ht="57.75" customHeight="1">
      <c r="A21" s="19" t="s">
        <v>154</v>
      </c>
      <c r="B21" s="4" t="s">
        <v>129</v>
      </c>
      <c r="C21" s="4" t="s">
        <v>155</v>
      </c>
      <c r="D21" s="4" t="s">
        <v>16</v>
      </c>
      <c r="E21" s="5" t="s">
        <v>156</v>
      </c>
      <c r="F21" s="5" t="s">
        <v>157</v>
      </c>
      <c r="G21" s="5" t="s">
        <v>158</v>
      </c>
      <c r="H21" s="5" t="s">
        <v>159</v>
      </c>
      <c r="I21" s="6" t="s">
        <v>21</v>
      </c>
      <c r="J21" s="7"/>
      <c r="K21" s="14" t="s">
        <v>161</v>
      </c>
    </row>
    <row r="22" ht="57.75" customHeight="1">
      <c r="A22" s="19" t="s">
        <v>162</v>
      </c>
      <c r="B22" s="4" t="s">
        <v>129</v>
      </c>
      <c r="C22" s="4" t="s">
        <v>155</v>
      </c>
      <c r="D22" s="4" t="s">
        <v>16</v>
      </c>
      <c r="E22" s="5" t="s">
        <v>163</v>
      </c>
      <c r="F22" s="5" t="s">
        <v>164</v>
      </c>
      <c r="G22" s="5" t="s">
        <v>165</v>
      </c>
      <c r="H22" s="5" t="s">
        <v>166</v>
      </c>
      <c r="I22" s="6" t="s">
        <v>30</v>
      </c>
      <c r="J22" s="6" t="s">
        <v>167</v>
      </c>
      <c r="K22" s="14" t="s">
        <v>168</v>
      </c>
    </row>
    <row r="23" ht="57.75" customHeight="1">
      <c r="A23" s="19" t="s">
        <v>169</v>
      </c>
      <c r="B23" s="4" t="s">
        <v>129</v>
      </c>
      <c r="C23" s="4" t="s">
        <v>155</v>
      </c>
      <c r="D23" s="4" t="s">
        <v>16</v>
      </c>
      <c r="E23" s="5" t="s">
        <v>170</v>
      </c>
      <c r="F23" s="5" t="s">
        <v>171</v>
      </c>
      <c r="G23" s="5" t="s">
        <v>165</v>
      </c>
      <c r="H23" s="5" t="s">
        <v>172</v>
      </c>
      <c r="I23" s="6" t="s">
        <v>21</v>
      </c>
      <c r="J23" s="7"/>
      <c r="K23" s="14" t="s">
        <v>174</v>
      </c>
    </row>
    <row r="24" ht="57.75" customHeight="1">
      <c r="A24" s="19" t="s">
        <v>175</v>
      </c>
      <c r="B24" s="4" t="s">
        <v>129</v>
      </c>
      <c r="C24" s="4" t="s">
        <v>15</v>
      </c>
      <c r="D24" s="4" t="s">
        <v>106</v>
      </c>
      <c r="E24" s="5" t="s">
        <v>176</v>
      </c>
      <c r="F24" s="5" t="s">
        <v>177</v>
      </c>
      <c r="G24" s="5" t="s">
        <v>165</v>
      </c>
      <c r="H24" s="5" t="s">
        <v>178</v>
      </c>
      <c r="I24" s="6" t="s">
        <v>21</v>
      </c>
      <c r="J24" s="7"/>
      <c r="K24" s="14" t="s">
        <v>179</v>
      </c>
    </row>
    <row r="25" ht="57.75" customHeight="1">
      <c r="A25" s="19" t="s">
        <v>181</v>
      </c>
      <c r="B25" s="4" t="s">
        <v>142</v>
      </c>
      <c r="C25" s="4" t="s">
        <v>15</v>
      </c>
      <c r="D25" s="4" t="s">
        <v>16</v>
      </c>
      <c r="E25" s="5" t="s">
        <v>182</v>
      </c>
      <c r="F25" s="5" t="s">
        <v>183</v>
      </c>
      <c r="G25" s="5" t="s">
        <v>158</v>
      </c>
      <c r="H25" s="5" t="s">
        <v>184</v>
      </c>
      <c r="I25" s="6" t="s">
        <v>21</v>
      </c>
      <c r="J25" s="7"/>
      <c r="K25" s="14" t="s">
        <v>185</v>
      </c>
    </row>
    <row r="26" ht="57.75" customHeight="1">
      <c r="A26" s="19" t="s">
        <v>186</v>
      </c>
      <c r="B26" s="4" t="s">
        <v>142</v>
      </c>
      <c r="C26" s="4" t="s">
        <v>15</v>
      </c>
      <c r="D26" s="4" t="s">
        <v>53</v>
      </c>
      <c r="E26" s="5" t="s">
        <v>187</v>
      </c>
      <c r="F26" s="5" t="s">
        <v>18</v>
      </c>
      <c r="G26" s="5" t="s">
        <v>188</v>
      </c>
      <c r="H26" s="5" t="s">
        <v>189</v>
      </c>
      <c r="I26" s="6" t="s">
        <v>21</v>
      </c>
      <c r="J26" s="7"/>
      <c r="K26" s="14" t="s">
        <v>190</v>
      </c>
    </row>
    <row r="27" ht="57.75" customHeight="1">
      <c r="A27" s="19" t="s">
        <v>191</v>
      </c>
      <c r="B27" s="4" t="s">
        <v>142</v>
      </c>
      <c r="C27" s="4" t="s">
        <v>15</v>
      </c>
      <c r="D27" s="4" t="s">
        <v>53</v>
      </c>
      <c r="E27" s="5" t="s">
        <v>193</v>
      </c>
      <c r="F27" s="5" t="s">
        <v>164</v>
      </c>
      <c r="G27" s="5" t="s">
        <v>194</v>
      </c>
      <c r="H27" s="5" t="s">
        <v>195</v>
      </c>
      <c r="I27" s="6" t="s">
        <v>30</v>
      </c>
      <c r="J27" s="6" t="s">
        <v>196</v>
      </c>
      <c r="K27" s="14" t="s">
        <v>197</v>
      </c>
    </row>
    <row r="28" ht="45.0" customHeight="1">
      <c r="A28" s="19" t="s">
        <v>198</v>
      </c>
      <c r="B28" s="4" t="s">
        <v>142</v>
      </c>
      <c r="C28" s="4" t="s">
        <v>15</v>
      </c>
      <c r="D28" s="4" t="s">
        <v>53</v>
      </c>
      <c r="E28" s="5" t="s">
        <v>199</v>
      </c>
      <c r="F28" s="5" t="s">
        <v>200</v>
      </c>
      <c r="G28" s="5" t="s">
        <v>201</v>
      </c>
      <c r="H28" s="5" t="s">
        <v>202</v>
      </c>
      <c r="I28" s="6" t="s">
        <v>21</v>
      </c>
      <c r="J28" s="7"/>
      <c r="K28" s="14" t="s">
        <v>203</v>
      </c>
    </row>
    <row r="29" ht="45.0" customHeight="1">
      <c r="A29" s="19" t="s">
        <v>204</v>
      </c>
      <c r="B29" s="4" t="s">
        <v>142</v>
      </c>
      <c r="C29" s="4" t="s">
        <v>88</v>
      </c>
      <c r="D29" s="4" t="s">
        <v>106</v>
      </c>
      <c r="E29" s="5" t="s">
        <v>205</v>
      </c>
      <c r="F29" s="5" t="s">
        <v>206</v>
      </c>
      <c r="G29" s="5" t="s">
        <v>207</v>
      </c>
      <c r="H29" s="5" t="s">
        <v>208</v>
      </c>
      <c r="I29" s="6" t="s">
        <v>21</v>
      </c>
      <c r="J29" s="7"/>
      <c r="K29" s="14" t="s">
        <v>209</v>
      </c>
    </row>
    <row r="30" ht="57.75" customHeight="1">
      <c r="A30" s="19" t="s">
        <v>210</v>
      </c>
      <c r="B30" s="4" t="s">
        <v>160</v>
      </c>
      <c r="C30" s="4" t="s">
        <v>15</v>
      </c>
      <c r="D30" s="4" t="s">
        <v>16</v>
      </c>
      <c r="E30" s="5" t="s">
        <v>211</v>
      </c>
      <c r="F30" s="5" t="s">
        <v>212</v>
      </c>
      <c r="G30" s="5" t="s">
        <v>213</v>
      </c>
      <c r="H30" s="5" t="s">
        <v>214</v>
      </c>
      <c r="I30" s="6" t="s">
        <v>21</v>
      </c>
      <c r="J30" s="7"/>
      <c r="K30" s="14" t="s">
        <v>215</v>
      </c>
    </row>
    <row r="31" ht="57.75" customHeight="1">
      <c r="A31" s="19" t="s">
        <v>216</v>
      </c>
      <c r="B31" s="4" t="s">
        <v>160</v>
      </c>
      <c r="C31" s="4" t="s">
        <v>155</v>
      </c>
      <c r="D31" s="4" t="s">
        <v>16</v>
      </c>
      <c r="E31" s="5" t="s">
        <v>217</v>
      </c>
      <c r="F31" s="5" t="s">
        <v>164</v>
      </c>
      <c r="G31" s="5" t="s">
        <v>213</v>
      </c>
      <c r="H31" s="5" t="s">
        <v>218</v>
      </c>
      <c r="I31" s="6" t="s">
        <v>30</v>
      </c>
      <c r="J31" s="6" t="s">
        <v>219</v>
      </c>
      <c r="K31" s="14" t="s">
        <v>220</v>
      </c>
    </row>
    <row r="32" ht="57.75" customHeight="1">
      <c r="A32" s="19" t="s">
        <v>221</v>
      </c>
      <c r="B32" s="4" t="s">
        <v>160</v>
      </c>
      <c r="C32" s="4" t="s">
        <v>155</v>
      </c>
      <c r="D32" s="4" t="s">
        <v>16</v>
      </c>
      <c r="E32" s="5" t="s">
        <v>222</v>
      </c>
      <c r="F32" s="5" t="s">
        <v>157</v>
      </c>
      <c r="G32" s="5" t="s">
        <v>213</v>
      </c>
      <c r="H32" s="5" t="s">
        <v>223</v>
      </c>
      <c r="I32" s="6" t="s">
        <v>21</v>
      </c>
      <c r="J32" s="7"/>
      <c r="K32" s="14" t="s">
        <v>224</v>
      </c>
    </row>
    <row r="33" ht="57.75" customHeight="1">
      <c r="A33" s="19" t="s">
        <v>225</v>
      </c>
      <c r="B33" s="4" t="s">
        <v>173</v>
      </c>
      <c r="C33" s="4" t="s">
        <v>15</v>
      </c>
      <c r="D33" s="4" t="s">
        <v>16</v>
      </c>
      <c r="E33" s="5" t="s">
        <v>226</v>
      </c>
      <c r="F33" s="5" t="s">
        <v>18</v>
      </c>
      <c r="G33" s="5" t="s">
        <v>227</v>
      </c>
      <c r="H33" s="5" t="s">
        <v>228</v>
      </c>
      <c r="I33" s="6" t="s">
        <v>21</v>
      </c>
      <c r="J33" s="7"/>
      <c r="K33" s="14" t="s">
        <v>229</v>
      </c>
    </row>
    <row r="34" ht="45.0" customHeight="1">
      <c r="A34" s="19" t="s">
        <v>230</v>
      </c>
      <c r="B34" s="4" t="s">
        <v>180</v>
      </c>
      <c r="C34" s="4" t="s">
        <v>15</v>
      </c>
      <c r="D34" s="4" t="s">
        <v>16</v>
      </c>
      <c r="E34" s="5" t="s">
        <v>231</v>
      </c>
      <c r="F34" s="5" t="s">
        <v>206</v>
      </c>
      <c r="G34" s="5" t="s">
        <v>232</v>
      </c>
      <c r="H34" s="5" t="s">
        <v>233</v>
      </c>
      <c r="I34" s="6" t="s">
        <v>21</v>
      </c>
      <c r="J34" s="7"/>
      <c r="K34" s="14" t="s">
        <v>234</v>
      </c>
    </row>
    <row r="35" ht="31.5" customHeight="1">
      <c r="A35" s="19" t="s">
        <v>235</v>
      </c>
      <c r="B35" s="4" t="s">
        <v>180</v>
      </c>
      <c r="C35" s="4" t="s">
        <v>155</v>
      </c>
      <c r="D35" s="4" t="s">
        <v>16</v>
      </c>
      <c r="E35" s="5" t="s">
        <v>236</v>
      </c>
      <c r="F35" s="5" t="s">
        <v>237</v>
      </c>
      <c r="G35" s="5" t="s">
        <v>238</v>
      </c>
      <c r="H35" s="5" t="s">
        <v>239</v>
      </c>
      <c r="I35" s="6" t="s">
        <v>21</v>
      </c>
      <c r="J35" s="7"/>
      <c r="K35" s="14" t="s">
        <v>240</v>
      </c>
    </row>
    <row r="36" ht="31.5" customHeight="1">
      <c r="A36" s="19" t="s">
        <v>241</v>
      </c>
      <c r="B36" s="4" t="s">
        <v>180</v>
      </c>
      <c r="C36" s="4" t="s">
        <v>155</v>
      </c>
      <c r="D36" s="4" t="s">
        <v>16</v>
      </c>
      <c r="E36" s="5" t="s">
        <v>242</v>
      </c>
      <c r="F36" s="5" t="s">
        <v>243</v>
      </c>
      <c r="G36" s="5" t="s">
        <v>244</v>
      </c>
      <c r="H36" s="5" t="s">
        <v>245</v>
      </c>
      <c r="I36" s="6" t="s">
        <v>21</v>
      </c>
      <c r="J36" s="7"/>
      <c r="K36" s="14" t="s">
        <v>246</v>
      </c>
    </row>
    <row r="37" ht="30.0" customHeight="1">
      <c r="A37" s="19" t="s">
        <v>247</v>
      </c>
      <c r="B37" s="4" t="s">
        <v>180</v>
      </c>
      <c r="C37" s="4" t="s">
        <v>15</v>
      </c>
      <c r="D37" s="4" t="s">
        <v>53</v>
      </c>
      <c r="E37" s="5" t="s">
        <v>248</v>
      </c>
      <c r="F37" s="5" t="s">
        <v>249</v>
      </c>
      <c r="G37" s="5" t="s">
        <v>250</v>
      </c>
      <c r="H37" s="5" t="s">
        <v>251</v>
      </c>
      <c r="I37" s="6" t="s">
        <v>21</v>
      </c>
      <c r="J37" s="7"/>
      <c r="K37" s="14" t="s">
        <v>252</v>
      </c>
    </row>
    <row r="38" ht="57.75" customHeight="1">
      <c r="A38" s="19" t="s">
        <v>253</v>
      </c>
      <c r="B38" s="4" t="s">
        <v>192</v>
      </c>
      <c r="C38" s="4" t="s">
        <v>15</v>
      </c>
      <c r="D38" s="4" t="s">
        <v>53</v>
      </c>
      <c r="E38" s="5" t="s">
        <v>254</v>
      </c>
      <c r="F38" s="5" t="s">
        <v>255</v>
      </c>
      <c r="G38" s="5" t="s">
        <v>256</v>
      </c>
      <c r="H38" s="5" t="s">
        <v>257</v>
      </c>
      <c r="I38" s="6" t="s">
        <v>21</v>
      </c>
      <c r="J38" s="7"/>
      <c r="K38" s="14" t="s">
        <v>258</v>
      </c>
    </row>
  </sheetData>
  <autoFilter ref="$A$1:$K$38"/>
  <conditionalFormatting sqref="I2:I38">
    <cfRule type="cellIs" dxfId="0" priority="1" operator="equal">
      <formula>"Passou"</formula>
    </cfRule>
  </conditionalFormatting>
  <conditionalFormatting sqref="I2:I38">
    <cfRule type="cellIs" dxfId="1" priority="2" operator="equal">
      <formula>"Falhou"</formula>
    </cfRule>
  </conditionalFormatting>
  <conditionalFormatting sqref="I2:I38">
    <cfRule type="cellIs" dxfId="2" priority="3" operator="equal">
      <formula>"Bloqueado"</formula>
    </cfRule>
  </conditionalFormatting>
  <dataValidations>
    <dataValidation type="list" allowBlank="1" sqref="I2:I38">
      <formula1>"Não executado,Passou,Falhou"</formula1>
    </dataValidation>
  </dataValidations>
  <hyperlinks>
    <hyperlink r:id="rId1" ref="K2"/>
    <hyperlink r:id="rId2" ref="K3"/>
    <hyperlink r:id="rId3" ref="K4"/>
    <hyperlink r:id="rId4" ref="K5"/>
    <hyperlink r:id="rId5" ref="K6"/>
    <hyperlink r:id="rId6" ref="K7"/>
    <hyperlink r:id="rId7" ref="K8"/>
    <hyperlink r:id="rId8" ref="K9"/>
    <hyperlink r:id="rId9" ref="K10"/>
    <hyperlink r:id="rId10" ref="K11"/>
    <hyperlink r:id="rId11" ref="K12"/>
    <hyperlink r:id="rId12" ref="K13"/>
    <hyperlink r:id="rId13" ref="K14"/>
    <hyperlink r:id="rId14" ref="K15"/>
    <hyperlink r:id="rId15" ref="K16"/>
    <hyperlink r:id="rId16" ref="K17"/>
    <hyperlink r:id="rId17" ref="K18"/>
    <hyperlink r:id="rId18" ref="K19"/>
    <hyperlink r:id="rId19" ref="K20"/>
    <hyperlink r:id="rId20" ref="K21"/>
    <hyperlink r:id="rId21" ref="K22"/>
    <hyperlink r:id="rId22" ref="K23"/>
    <hyperlink r:id="rId23" ref="K24"/>
    <hyperlink r:id="rId24" ref="K25"/>
    <hyperlink r:id="rId25" ref="K26"/>
    <hyperlink r:id="rId26" ref="K27"/>
    <hyperlink r:id="rId27" ref="K28"/>
    <hyperlink r:id="rId28" ref="K29"/>
    <hyperlink r:id="rId29" ref="K30"/>
    <hyperlink r:id="rId30" ref="K31"/>
    <hyperlink r:id="rId31" ref="K32"/>
    <hyperlink r:id="rId32" ref="K33"/>
    <hyperlink r:id="rId33" ref="K34"/>
    <hyperlink r:id="rId34" ref="K35"/>
    <hyperlink r:id="rId35" ref="K36"/>
    <hyperlink r:id="rId36" ref="K37"/>
    <hyperlink r:id="rId37" ref="K38"/>
  </hyperlinks>
  <printOptions/>
  <pageMargins bottom="1.0" footer="0.0" header="0.0" left="0.75" right="0.75" top="1.0"/>
  <pageSetup paperSize="9" orientation="portrait"/>
  <drawing r:id="rId3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5" width="15.0"/>
    <col customWidth="1" min="6" max="25" width="8.71"/>
  </cols>
  <sheetData>
    <row r="1">
      <c r="A1" s="1" t="s">
        <v>0</v>
      </c>
    </row>
    <row r="3">
      <c r="A3" s="3" t="s">
        <v>2</v>
      </c>
      <c r="B3" s="9">
        <f>COUNTA('Casos de Teste'!A2:A38)</f>
        <v>37</v>
      </c>
    </row>
    <row r="4">
      <c r="A4" s="3" t="s">
        <v>21</v>
      </c>
      <c r="B4" s="9">
        <f>COUNTIF('Casos de Teste'!I2:I38,A4)</f>
        <v>33</v>
      </c>
    </row>
    <row r="5">
      <c r="A5" s="3" t="s">
        <v>30</v>
      </c>
      <c r="B5" s="9">
        <f>COUNTIF('Casos de Teste'!I2:I38,A5)</f>
        <v>4</v>
      </c>
    </row>
    <row r="6">
      <c r="A6" s="3" t="s">
        <v>35</v>
      </c>
      <c r="B6" s="9">
        <f>COUNTIF('Casos de Teste'!I2:I38,A6)</f>
        <v>0</v>
      </c>
    </row>
    <row r="7">
      <c r="A7" s="3" t="s">
        <v>42</v>
      </c>
      <c r="B7" s="15">
        <f>IF(B3=0,0,(B3-B6)/B3)</f>
        <v>1</v>
      </c>
    </row>
    <row r="8">
      <c r="A8" s="3" t="s">
        <v>51</v>
      </c>
      <c r="B8" s="15">
        <f>IF(B3-B6=0,0,B5/(B3-B6))</f>
        <v>0.1081081081</v>
      </c>
    </row>
    <row r="10">
      <c r="A10" s="16" t="s">
        <v>60</v>
      </c>
    </row>
    <row r="11">
      <c r="A11" s="17" t="s">
        <v>3</v>
      </c>
      <c r="B11" s="17" t="s">
        <v>40</v>
      </c>
      <c r="C11" s="17" t="s">
        <v>21</v>
      </c>
      <c r="D11" s="17" t="s">
        <v>30</v>
      </c>
      <c r="E11" s="17" t="s">
        <v>35</v>
      </c>
    </row>
    <row r="12">
      <c r="A12" s="9" t="s">
        <v>14</v>
      </c>
      <c r="B12" s="9">
        <f>COUNTIF('Casos de Teste'!B2:B38,A12)</f>
        <v>4</v>
      </c>
      <c r="C12" s="9">
        <f>COUNTIFS('Casos de Teste'!B2:B38,$A12,'Casos de Teste'!I2:I38,"Passou")</f>
        <v>3</v>
      </c>
      <c r="D12" s="9">
        <f>COUNTIFS('Casos de Teste'!B2:B38,$A12,'Casos de Teste'!I2:I38,"Falhou")</f>
        <v>1</v>
      </c>
      <c r="E12" s="9">
        <f>COUNTIFS('Casos de Teste'!B2:B38,$A12,'Casos de Teste'!I2:I38,"Não executado")</f>
        <v>0</v>
      </c>
    </row>
    <row r="13">
      <c r="A13" s="9" t="s">
        <v>67</v>
      </c>
      <c r="B13" s="9">
        <f>COUNTIF('Casos de Teste'!B2:B38,A13)</f>
        <v>5</v>
      </c>
      <c r="C13" s="9">
        <f>COUNTIFS('Casos de Teste'!B2:B38,$A13,'Casos de Teste'!I2:I38,"Passou")</f>
        <v>5</v>
      </c>
      <c r="D13" s="9">
        <f>COUNTIFS('Casos de Teste'!B2:B38,$A13,'Casos de Teste'!I2:I38,"Falhou")</f>
        <v>0</v>
      </c>
      <c r="E13" s="9">
        <f>COUNTIFS('Casos de Teste'!B2:B38,$A13,'Casos de Teste'!I2:I38,"Não executado")</f>
        <v>0</v>
      </c>
    </row>
    <row r="14">
      <c r="A14" s="9" t="s">
        <v>93</v>
      </c>
      <c r="B14" s="9">
        <f>COUNTIF('Casos de Teste'!B2:B38,A14)</f>
        <v>5</v>
      </c>
      <c r="C14" s="9">
        <f>COUNTIFS('Casos de Teste'!B2:B38,$A14,'Casos de Teste'!I2:I38,"Passou")</f>
        <v>5</v>
      </c>
      <c r="D14" s="9">
        <f>COUNTIFS('Casos de Teste'!B2:B38,$A14,'Casos de Teste'!I2:I38,"Falhou")</f>
        <v>0</v>
      </c>
      <c r="E14" s="9">
        <f>COUNTIFS('Casos de Teste'!B2:B38,$A14,'Casos de Teste'!I2:I38,"Não executado")</f>
        <v>0</v>
      </c>
    </row>
    <row r="15">
      <c r="A15" s="9" t="s">
        <v>116</v>
      </c>
      <c r="B15" s="9">
        <f>COUNTIF('Casos de Teste'!B2:B38,A15)</f>
        <v>1</v>
      </c>
      <c r="C15" s="9">
        <f>COUNTIFS('Casos de Teste'!B2:B38,$A15,'Casos de Teste'!I2:I38,"Passou")</f>
        <v>1</v>
      </c>
      <c r="D15" s="9">
        <f>COUNTIFS('Casos de Teste'!B2:B38,$A15,'Casos de Teste'!I2:I38,"Falhou")</f>
        <v>0</v>
      </c>
      <c r="E15" s="9">
        <f>COUNTIFS('Casos de Teste'!B2:B38,$A15,'Casos de Teste'!I2:I38,"Não executado")</f>
        <v>0</v>
      </c>
    </row>
    <row r="16">
      <c r="A16" s="9" t="s">
        <v>117</v>
      </c>
      <c r="B16" s="9">
        <f>COUNTIF('Casos de Teste'!B2:B38,A16)</f>
        <v>4</v>
      </c>
      <c r="C16" s="9">
        <f>COUNTIFS('Casos de Teste'!B2:B38,$A16,'Casos de Teste'!I2:I38,"Passou")</f>
        <v>4</v>
      </c>
      <c r="D16" s="9">
        <f>COUNTIFS('Casos de Teste'!B2:B38,$A16,'Casos de Teste'!I2:I38,"Falhou")</f>
        <v>0</v>
      </c>
      <c r="E16" s="9">
        <f>COUNTIFS('Casos de Teste'!B2:B38,$A16,'Casos de Teste'!I2:I38,"Não executado")</f>
        <v>0</v>
      </c>
    </row>
    <row r="17">
      <c r="A17" s="9" t="s">
        <v>129</v>
      </c>
      <c r="B17" s="9">
        <f>COUNTIF('Casos de Teste'!B2:B38,A17)</f>
        <v>4</v>
      </c>
      <c r="C17" s="9">
        <f>COUNTIFS('Casos de Teste'!B2:B38,$A17,'Casos de Teste'!I2:I38,"Passou")</f>
        <v>3</v>
      </c>
      <c r="D17" s="9">
        <f>COUNTIFS('Casos de Teste'!B2:B38,$A17,'Casos de Teste'!I2:I38,"Falhou")</f>
        <v>1</v>
      </c>
      <c r="E17" s="9">
        <f>COUNTIFS('Casos de Teste'!B2:B38,$A17,'Casos de Teste'!I2:I38,"Não executado")</f>
        <v>0</v>
      </c>
    </row>
    <row r="18">
      <c r="A18" s="9" t="s">
        <v>142</v>
      </c>
      <c r="B18" s="9">
        <f>COUNTIF('Casos de Teste'!B2:B38,A18)</f>
        <v>5</v>
      </c>
      <c r="C18" s="9">
        <f>COUNTIFS('Casos de Teste'!B2:B38,$A18,'Casos de Teste'!I2:I38,"Passou")</f>
        <v>4</v>
      </c>
      <c r="D18" s="9">
        <f>COUNTIFS('Casos de Teste'!B2:B38,$A18,'Casos de Teste'!I2:I38,"Falhou")</f>
        <v>1</v>
      </c>
      <c r="E18" s="9">
        <f>COUNTIFS('Casos de Teste'!B2:B38,$A18,'Casos de Teste'!I2:I38,"Não executado")</f>
        <v>0</v>
      </c>
    </row>
    <row r="19">
      <c r="A19" s="9" t="s">
        <v>160</v>
      </c>
      <c r="B19" s="9">
        <f>COUNTIF('Casos de Teste'!B2:B38,A19)</f>
        <v>3</v>
      </c>
      <c r="C19" s="9">
        <f>COUNTIFS('Casos de Teste'!B2:B38,$A19,'Casos de Teste'!I2:I38,"Passou")</f>
        <v>2</v>
      </c>
      <c r="D19" s="9">
        <f>COUNTIFS('Casos de Teste'!B2:B38,$A19,'Casos de Teste'!I2:I38,"Falhou")</f>
        <v>1</v>
      </c>
      <c r="E19" s="9">
        <f>COUNTIFS('Casos de Teste'!B2:B38,$A19,'Casos de Teste'!I2:I38,"Não executado")</f>
        <v>0</v>
      </c>
    </row>
    <row r="20" ht="15.75" customHeight="1">
      <c r="A20" s="9" t="s">
        <v>173</v>
      </c>
      <c r="B20" s="9">
        <f>COUNTIF('Casos de Teste'!B2:B38,A20)</f>
        <v>1</v>
      </c>
      <c r="C20" s="9">
        <f>COUNTIFS('Casos de Teste'!B2:B38,$A20,'Casos de Teste'!I2:I38,"Passou")</f>
        <v>1</v>
      </c>
      <c r="D20" s="9">
        <f>COUNTIFS('Casos de Teste'!B2:B38,$A20,'Casos de Teste'!I2:I38,"Falhou")</f>
        <v>0</v>
      </c>
      <c r="E20" s="9">
        <f>COUNTIFS('Casos de Teste'!B2:B38,$A20,'Casos de Teste'!I2:I38,"Não executado")</f>
        <v>0</v>
      </c>
    </row>
    <row r="21" ht="15.75" customHeight="1">
      <c r="A21" s="9" t="s">
        <v>180</v>
      </c>
      <c r="B21" s="9">
        <f>COUNTIF('Casos de Teste'!B2:B38,A21)</f>
        <v>4</v>
      </c>
      <c r="C21" s="9">
        <f>COUNTIFS('Casos de Teste'!B2:B38,$A21,'Casos de Teste'!I2:I38,"Passou")</f>
        <v>4</v>
      </c>
      <c r="D21" s="9">
        <f>COUNTIFS('Casos de Teste'!B2:B38,$A21,'Casos de Teste'!I2:I38,"Falhou")</f>
        <v>0</v>
      </c>
      <c r="E21" s="9">
        <f>COUNTIFS('Casos de Teste'!B2:B38,$A21,'Casos de Teste'!I2:I38,"Não executado")</f>
        <v>0</v>
      </c>
    </row>
    <row r="22" ht="15.75" customHeight="1">
      <c r="A22" s="9" t="s">
        <v>192</v>
      </c>
      <c r="B22" s="9">
        <f>COUNTIF('Casos de Teste'!B2:B38,A22)</f>
        <v>1</v>
      </c>
      <c r="C22" s="9">
        <f>COUNTIFS('Casos de Teste'!B2:B38,$A22,'Casos de Teste'!I2:I38,"Passou")</f>
        <v>1</v>
      </c>
      <c r="D22" s="9">
        <f>COUNTIFS('Casos de Teste'!B2:B38,$A22,'Casos de Teste'!I2:I38,"Falhou")</f>
        <v>0</v>
      </c>
      <c r="E22" s="9">
        <f>COUNTIFS('Casos de Teste'!B2:B38,$A22,'Casos de Teste'!I2:I38,"Não executado")</f>
        <v>0</v>
      </c>
    </row>
    <row r="23" ht="15.75" customHeight="1">
      <c r="A23" s="20" t="s">
        <v>40</v>
      </c>
      <c r="B23" s="20">
        <f t="shared" ref="B23:E23" si="1">SUM(B12:B22)</f>
        <v>37</v>
      </c>
      <c r="C23" s="20">
        <f t="shared" si="1"/>
        <v>33</v>
      </c>
      <c r="D23" s="20">
        <f t="shared" si="1"/>
        <v>4</v>
      </c>
      <c r="E23" s="20">
        <f t="shared" si="1"/>
        <v>0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95.0"/>
    <col customWidth="1" min="3" max="26" width="8.71"/>
  </cols>
  <sheetData>
    <row r="1">
      <c r="A1" s="8" t="s">
        <v>23</v>
      </c>
    </row>
    <row r="2" ht="31.5" customHeight="1">
      <c r="A2" s="10" t="s">
        <v>24</v>
      </c>
      <c r="B2" s="11" t="s">
        <v>25</v>
      </c>
    </row>
    <row r="3" ht="18.0" customHeight="1">
      <c r="A3" s="10" t="s">
        <v>10</v>
      </c>
      <c r="B3" s="12" t="s">
        <v>26</v>
      </c>
    </row>
    <row r="4" ht="31.5" customHeight="1">
      <c r="A4" s="10" t="s">
        <v>27</v>
      </c>
      <c r="B4" s="11" t="s">
        <v>28</v>
      </c>
    </row>
    <row r="5">
      <c r="A5" s="13" t="s">
        <v>29</v>
      </c>
    </row>
    <row r="6" ht="18.0" customHeight="1">
      <c r="A6" s="10" t="s">
        <v>31</v>
      </c>
      <c r="B6" s="11" t="s">
        <v>32</v>
      </c>
    </row>
    <row r="7" ht="31.5" customHeight="1">
      <c r="A7" s="10" t="s">
        <v>33</v>
      </c>
      <c r="B7" s="11" t="s">
        <v>34</v>
      </c>
    </row>
    <row r="8" ht="31.5" customHeight="1">
      <c r="A8" s="10" t="s">
        <v>36</v>
      </c>
      <c r="B8" s="11" t="s">
        <v>37</v>
      </c>
    </row>
    <row r="9" ht="18.0" customHeight="1">
      <c r="A9" s="10" t="s">
        <v>38</v>
      </c>
      <c r="B9" s="11" t="s">
        <v>39</v>
      </c>
    </row>
    <row r="10" ht="18.0" customHeight="1">
      <c r="A10" s="10" t="s">
        <v>40</v>
      </c>
      <c r="B10" s="11" t="s">
        <v>43</v>
      </c>
    </row>
    <row r="11" ht="31.5" customHeight="1">
      <c r="A11" s="10" t="s">
        <v>44</v>
      </c>
      <c r="B11" s="11" t="s">
        <v>45</v>
      </c>
    </row>
  </sheetData>
  <printOptions/>
  <pageMargins bottom="1.0" footer="0.0" header="0.0" left="0.75" right="0.75" top="1.0"/>
  <pageSetup paperSize="9" orientation="portrait"/>
  <drawing r:id="rId1"/>
</worksheet>
</file>